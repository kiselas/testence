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979ed4274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18e19423ab4010"/>
    <x:sheet xmlns:r="http://schemas.openxmlformats.org/officeDocument/2006/relationships" name="Market Map" sheetId="2" r:id="Rfa2eb86fe48b49e2"/>
    <x:sheet xmlns:r="http://schemas.openxmlformats.org/officeDocument/2006/relationships" name="Direct Matrix" sheetId="3" r:id="Rf7f77124eaf44c7f"/>
    <x:sheet xmlns:r="http://schemas.openxmlformats.org/officeDocument/2006/relationships" name="Benchmark" sheetId="4" r:id="R0b2545b99ea74e66"/>
    <x:sheet xmlns:r="http://schemas.openxmlformats.org/officeDocument/2006/relationships" name="Protocol" sheetId="5" r:id="Rd06862071ee64a01"/>
    <x:sheet xmlns:r="http://schemas.openxmlformats.org/officeDocument/2006/relationships" name="Sources" sheetId="6" r:id="Rc1f613d58924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 &quot;инструментов&quot;"/>
    <x:numFmt numFmtId="201" formatCode="+0.0%;-0.0%;0.0%"/>
    <x:numFmt numFmtId="202" formatCode="0 &quot;item-runs&quot;"/>
    <x:numFmt numFmtId="203" formatCode="0.0%"/>
    <x:numFmt numFmtId="204" formatCode="0"/>
    <x:numFmt numFmtId="205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b/>
      <x:sz val="11"/>
      <x:color rgb="FFFFFFFF"/>
      <x:name val="Carlito"/>
    </x:font>
    <x:font>
      <x:b/>
      <x:sz val="20"/>
      <x:color rgb="FF132238"/>
      <x:name val="Carlito"/>
    </x:font>
    <x:font>
      <x:b/>
      <x:sz val="12"/>
      <x:color rgb="FF132238"/>
      <x:name val="Carlito"/>
    </x:font>
    <x:font>
      <x:sz val="10"/>
      <x:color rgb="FF172033"/>
      <x:name val="Carlito"/>
    </x:font>
    <x:font>
      <x:i/>
      <x:sz val="11"/>
      <x:color rgb="FFB45309"/>
      <x:name val="Carlito"/>
    </x:font>
    <x:font>
      <x:b/>
      <x:sz val="11"/>
      <x:color rgb="FF0F766E"/>
      <x:name val="Carlito"/>
    </x:font>
    <x:font>
      <x:b/>
      <x:sz val="11"/>
      <x:color rgb="FFB45309"/>
      <x:name val="Carlito"/>
    </x:font>
    <x:font>
      <x:sz val="11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8EEF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DCE7F5"/>
      </x:patternFill>
    </x:fill>
    <x:fill>
      <x:patternFill patternType="solid">
        <x:fgColor rgb="FFFEF3C7"/>
      </x:patternFill>
    </x:fill>
    <x:fill>
      <x:patternFill patternType="solid">
        <x:fgColor rgb="FFDFF7F5"/>
      </x:patternFill>
    </x:fill>
  </x:fills>
  <x:borders count="24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3" xfId="0" applyNumberFormat="1" applyFont="1" applyFill="1" applyBorder="1"/>
    <x:xf numFmtId="203" fontId="6" fillId="0" borderId="14" xfId="0" applyNumberFormat="1" applyFont="1" applyFill="1" applyBorder="1"/>
    <x:xf numFmtId="203" fontId="6" fillId="0" borderId="15" xfId="0" applyNumberFormat="1" applyFont="1" applyFill="1" applyBorder="1"/>
    <x:xf numFmtId="203" fontId="6" fillId="0" borderId="13" xfId="0" applyNumberFormat="1" applyFont="1" applyFill="1" applyBorder="1" applyAlignment="1">
      <x:alignment wrapText="1"/>
    </x:xf>
    <x:xf numFmtId="203" fontId="6" fillId="0" borderId="14" xfId="0" applyNumberFormat="1" applyFont="1" applyFill="1" applyBorder="1" applyAlignment="1">
      <x:alignment wrapText="1"/>
    </x:xf>
    <x:xf numFmtId="203" fontId="6" fillId="0" borderId="15" xfId="0" applyNumberFormat="1" applyFont="1" applyFill="1" applyBorder="1" applyAlignment="1">
      <x:alignment wrapText="1"/>
    </x:xf>
    <x:xf numFmtId="203" fontId="6" fillId="0" borderId="13" xfId="0" applyNumberFormat="1" applyFont="1" applyFill="1" applyBorder="1" applyAlignment="1">
      <x:alignment vertical="top" wrapText="1"/>
    </x:xf>
    <x:xf numFmtId="203" fontId="6" fillId="0" borderId="14" xfId="0" applyNumberFormat="1" applyFont="1" applyFill="1" applyBorder="1" applyAlignment="1">
      <x:alignment vertical="top" wrapText="1"/>
    </x:xf>
    <x:xf numFmtId="203" fontId="6" fillId="0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16" xfId="0" applyNumberFormat="1" applyFont="1" applyFill="1" applyBorder="1" applyAlignment="1">
      <x:alignment wrapText="1"/>
    </x:xf>
    <x:xf numFmtId="0" fontId="7" fillId="7" borderId="17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wrapText="1"/>
    </x:xf>
    <x:xf numFmtId="0" fontId="7" fillId="7" borderId="19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7" xfId="0" applyNumberFormat="1" applyFont="1" applyFill="1" applyBorder="1" applyAlignment="1">
      <x:alignment vertical="center" wrapText="1"/>
    </x:xf>
    <x:xf numFmtId="0" fontId="7" fillId="7" borderId="18" xfId="0" applyNumberFormat="1" applyFont="1" applyFill="1" applyBorder="1" applyAlignment="1">
      <x:alignment vertical="center" wrapText="1"/>
    </x:xf>
    <x:xf numFmtId="0" fontId="7" fillId="7" borderId="19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0" xfId="0" applyNumberFormat="1" applyFont="1" applyFill="1" applyBorder="1" applyAlignment="1">
      <x:alignment vertical="center" wrapText="1"/>
    </x:xf>
    <x:xf numFmtId="0" fontId="7" fillId="7" borderId="21" xfId="0" applyNumberFormat="1" applyFont="1" applyFill="1" applyBorder="1" applyAlignment="1">
      <x:alignment vertical="center" wrapText="1"/>
    </x:xf>
    <x:xf numFmtId="0" fontId="7" fillId="7" borderId="22" xfId="0" applyNumberFormat="1" applyFont="1" applyFill="1" applyBorder="1" applyAlignment="1">
      <x:alignment vertical="center" wrapText="1"/>
    </x:xf>
    <x:xf numFmtId="0" fontId="7" fillId="7" borderId="2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7" borderId="0" xfId="0" applyNumberFormat="1" applyFont="1" applyFill="1" applyBorder="1" applyAlignment="1">
      <x:alignment horizontal="center"/>
    </x:xf>
    <x:xf numFmtId="0" fontId="6" fillId="0" borderId="13" xfId="0" applyNumberFormat="1" applyFont="1" applyFill="1" applyBorder="1" applyAlignment="1">
      <x:alignment horizontal="center" vertical="top" wrapText="1"/>
    </x:xf>
    <x:xf numFmtId="0" fontId="6" fillId="0" borderId="14" xfId="0" applyNumberFormat="1" applyFont="1" applyFill="1" applyBorder="1" applyAlignment="1">
      <x:alignment horizontal="center" vertical="top" wrapText="1"/>
    </x:xf>
    <x:xf numFmtId="0" fontId="6" fillId="0" borderId="15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4" fontId="6" fillId="0" borderId="13" xfId="0" applyNumberFormat="1" applyFont="1" applyFill="1" applyBorder="1"/>
    <x:xf numFmtId="205" fontId="6" fillId="0" borderId="13" xfId="0" applyNumberFormat="1" applyFont="1" applyFill="1" applyBorder="1"/>
    <x:xf numFmtId="204" fontId="6" fillId="0" borderId="15" xfId="0" applyNumberFormat="1" applyFont="1" applyFill="1" applyBorder="1"/>
    <x:xf numFmtId="205" fontId="6" fillId="0" borderId="15" xfId="0" applyNumberFormat="1" applyFont="1" applyFill="1" applyBorder="1"/>
    <x:xf numFmtId="204" fontId="6" fillId="0" borderId="13" xfId="0" applyNumberFormat="1" applyFont="1" applyFill="1" applyBorder="1" applyAlignment="1">
      <x:alignment wrapText="1"/>
    </x:xf>
    <x:xf numFmtId="205" fontId="6" fillId="0" borderId="13" xfId="0" applyNumberFormat="1" applyFont="1" applyFill="1" applyBorder="1" applyAlignment="1">
      <x:alignment wrapText="1"/>
    </x:xf>
    <x:xf numFmtId="204" fontId="6" fillId="0" borderId="15" xfId="0" applyNumberFormat="1" applyFont="1" applyFill="1" applyBorder="1" applyAlignment="1">
      <x:alignment wrapText="1"/>
    </x:xf>
    <x:xf numFmtId="205" fontId="6" fillId="0" borderId="15" xfId="0" applyNumberFormat="1" applyFont="1" applyFill="1" applyBorder="1" applyAlignment="1">
      <x:alignment wrapText="1"/>
    </x:xf>
    <x:xf numFmtId="204" fontId="6" fillId="0" borderId="13" xfId="0" applyNumberFormat="1" applyFont="1" applyFill="1" applyBorder="1" applyAlignment="1">
      <x:alignment vertical="top" wrapText="1"/>
    </x:xf>
    <x:xf numFmtId="205" fontId="6" fillId="0" borderId="13" xfId="0" applyNumberFormat="1" applyFont="1" applyFill="1" applyBorder="1" applyAlignment="1">
      <x:alignment vertical="top" wrapText="1"/>
    </x:xf>
    <x:xf numFmtId="204" fontId="6" fillId="0" borderId="15" xfId="0" applyNumberFormat="1" applyFont="1" applyFill="1" applyBorder="1" applyAlignment="1">
      <x:alignment vertical="top" wrapText="1"/>
    </x:xf>
    <x:xf numFmtId="205" fontId="6" fillId="0" borderId="1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3" xfId="0" applyNumberFormat="1" applyFont="1" applyFill="1" applyBorder="1"/>
    <x:xf numFmtId="201" fontId="6" fillId="0" borderId="15" xfId="0" applyNumberFormat="1" applyFont="1" applyFill="1" applyBorder="1"/>
    <x:xf numFmtId="201" fontId="6" fillId="0" borderId="13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wrapText="1"/>
    </x:xf>
    <x:xf numFmtId="201" fontId="6" fillId="0" borderId="13" xfId="0" applyNumberFormat="1" applyFont="1" applyFill="1" applyBorder="1" applyAlignment="1">
      <x:alignment vertical="top" wrapText="1"/>
    </x:xf>
    <x:xf numFmtId="201" fontId="6" fillId="0" borderId="15" xfId="0" applyNumberFormat="1" applyFont="1" applyFill="1" applyBorder="1" applyAlignment="1">
      <x:alignment vertical="top" wrapText="1"/>
    </x:xf>
    <x:xf numFmtId="205" fontId="6" fillId="0" borderId="14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/>
    <x:xf numFmtId="0" fontId="10" fillId="5" borderId="5" xfId="0" applyNumberFormat="1" applyFont="1" applyFill="1" applyBorder="1"/>
    <x:xf numFmtId="0" fontId="10" fillId="5" borderId="8" xfId="0" applyNumberFormat="1" applyFont="1" applyFill="1" applyBorder="1"/>
    <x:xf numFmtId="0" fontId="10" fillId="5" borderId="2" xfId="0" applyNumberFormat="1" applyFont="1" applyFill="1" applyBorder="1"/>
    <x:xf numFmtId="0" fontId="10" fillId="5" borderId="5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wrapText="1"/>
    </x:xf>
    <x:xf numFmtId="0" fontId="10" fillId="5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200" fontId="4" fillId="5" borderId="1" xfId="0" applyNumberFormat="1" applyFont="1" applyFill="1" applyBorder="1" applyAlignment="1">
      <x:alignment horizontal="center" vertical="top"/>
    </x:xf>
    <x:xf numFmtId="0" fontId="4" fillId="5" borderId="2" xfId="0" applyNumberFormat="1" applyFont="1" applyFill="1" applyBorder="1" applyAlignment="1">
      <x:alignment horizontal="center" vertical="top"/>
    </x:xf>
    <x:xf numFmtId="0" fontId="4" fillId="5" borderId="3" xfId="0" applyNumberFormat="1" applyFont="1" applyFill="1" applyBorder="1" applyAlignment="1">
      <x:alignment horizontal="center" vertical="top"/>
    </x:xf>
    <x:xf numFmtId="201" fontId="4" fillId="5" borderId="1" xfId="0" applyNumberFormat="1" applyFont="1" applyFill="1" applyBorder="1" applyAlignment="1">
      <x:alignment horizontal="center" vertical="top"/>
    </x:xf>
    <x:xf numFmtId="202" fontId="4" fillId="5" borderId="1" xfId="0" applyNumberFormat="1" applyFont="1" applyFill="1" applyBorder="1" applyAlignment="1">
      <x:alignment horizontal="center" vertical="top"/>
    </x:xf>
    <x:xf numFmtId="0" fontId="4" fillId="5" borderId="4" xfId="0" applyNumberFormat="1" applyFont="1" applyFill="1" applyBorder="1" applyAlignment="1">
      <x:alignment horizontal="center" vertical="top"/>
    </x:xf>
    <x:xf numFmtId="0" fontId="4" fillId="5" borderId="5" xfId="0" applyNumberFormat="1" applyFont="1" applyFill="1" applyBorder="1" applyAlignment="1">
      <x:alignment horizontal="center" vertical="top"/>
    </x:xf>
    <x:xf numFmtId="0" fontId="4" fillId="5" borderId="6" xfId="0" applyNumberFormat="1" applyFont="1" applyFill="1" applyBorder="1" applyAlignment="1">
      <x:alignment horizontal="center" vertical="top"/>
    </x:xf>
    <x:xf numFmtId="0" fontId="5" fillId="6" borderId="7" xfId="0" applyNumberFormat="1" applyFont="1" applyFill="1" applyBorder="1" applyAlignment="1">
      <x:alignment vertical="top"/>
    </x:xf>
    <x:xf numFmtId="0" fontId="5" fillId="6" borderId="8" xfId="0" applyNumberFormat="1" applyFont="1" applyFill="1" applyBorder="1" applyAlignment="1">
      <x:alignment vertical="top"/>
    </x:xf>
    <x:xf numFmtId="0" fontId="5" fillId="6" borderId="9" xfId="0" applyNumberFormat="1" applyFont="1" applyFill="1" applyBorder="1" applyAlignment="1">
      <x:alignment vertical="top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7" fillId="7" borderId="22" xfId="0" applyNumberFormat="1" applyFont="1" applyFill="1" applyBorder="1" applyAlignment="1">
      <x:alignment vertical="top" wrapText="1"/>
    </x:xf>
    <x:xf numFmtId="0" fontId="7" fillId="7" borderId="23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horizontal="right" vertical="top"/>
    </x:xf>
    <x:xf numFmtId="0" fontId="9" fillId="7" borderId="0" xfId="0" applyNumberFormat="1" applyFont="1" applyFill="1" applyBorder="1" applyAlignment="1">
      <x:alignment horizontal="center" vertical="top"/>
    </x:xf>
    <x:xf numFmtId="0" fontId="10" fillId="5" borderId="5" xfId="0" applyNumberFormat="1" applyFont="1" applyFill="1" applyBorder="1" applyAlignment="1">
      <x:alignment vertical="top" wrapText="1"/>
    </x:xf>
    <x:xf numFmtId="0" fontId="10" fillId="5" borderId="8" xfId="0" applyNumberFormat="1" applyFont="1" applyFill="1" applyBorder="1" applyAlignment="1">
      <x:alignment vertical="top" wrapText="1"/>
    </x:xf>
    <x:xf numFmtId="0" fontId="10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e1bb2394f4c8e" /><Relationship Type="http://schemas.openxmlformats.org/officeDocument/2006/relationships/theme" Target="/xl/theme/theme1.xml" Id="R24fbc00183704cdb" /><Relationship Type="http://schemas.openxmlformats.org/officeDocument/2006/relationships/sharedStrings" Target="/xl/sharedStrings.xml" Id="R8270b8fcaa894ad2" /><Relationship Type="http://schemas.openxmlformats.org/officeDocument/2006/relationships/worksheet" Target="/xl/worksheets/sheet1.xml" Id="R6918e19423ab4010" /><Relationship Type="http://schemas.openxmlformats.org/officeDocument/2006/relationships/worksheet" Target="/xl/worksheets/sheet2.xml" Id="Rfa2eb86fe48b49e2" /><Relationship Type="http://schemas.openxmlformats.org/officeDocument/2006/relationships/worksheet" Target="/xl/worksheets/sheet3.xml" Id="Rf7f77124eaf44c7f" /><Relationship Type="http://schemas.openxmlformats.org/officeDocument/2006/relationships/worksheet" Target="/xl/worksheets/sheet4.xml" Id="R0b2545b99ea74e66" /><Relationship Type="http://schemas.openxmlformats.org/officeDocument/2006/relationships/worksheet" Target="/xl/worksheets/sheet5.xml" Id="Rd06862071ee64a01" /><Relationship Type="http://schemas.openxmlformats.org/officeDocument/2006/relationships/worksheet" Target="/xl/worksheets/sheet6.xml" Id="Rc1f613d589244d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078615dade4b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8609a96b7de4b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Документированный weighted score (не hands-on winner)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Баллы</c:v>
          </c:tx>
          <c:cat>
            <c:strRef>
              <c:f>'Dashboard'!$J$10:$J$21</c:f>
              <c:strCache>
                <c:ptCount val="0"/>
              </c:strCache>
            </c:strRef>
          </c:cat>
          <c:val>
            <c:numRef>
              <c:f>'Dashboard'!$K$10:$K$21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Fresh-process replay median (lower is better)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Median ms</c:v>
          </c:tx>
          <c:cat>
            <c:strRef>
              <c:f>'Benchmark'!$K$5:$K$6</c:f>
              <c:strCache>
                <c:ptCount val="0"/>
              </c:strCache>
            </c:strRef>
          </c:cat>
          <c:val>
            <c:numRef>
              <c:f>'Benchmark'!$L$5:$L$6</c:f>
              <c:numCache>
                <c:formatCode>0 "ms"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3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 &quot;ms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078615dade4b4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7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609a96b7de4b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MapTable" displayName="MarketMapTable" ref="A4:H49" headerRowCount="1" totalsRowCount="0" totalsRowShown="0">
  <x:tableColumns count="8">
    <x:tableColumn id="1" name="Инструмент"/>
    <x:tableColumn id="2" name="Класс"/>
    <x:tableColumn id="3" name="Когорта"/>
    <x:tableColumn id="4" name="Модель"/>
    <x:tableColumn id="5" name="Authoring"/>
    <x:tableColumn id="6" name="Execution"/>
    <x:tableColumn id="7" name="Роль в сравнении"/>
    <x:tableColumn id="8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E28" headerRowCount="1" totalsRowCount="0" totalsRowShown="0">
  <x:tableColumns count="5">
    <x:tableColumn id="1" name="ID"/>
    <x:tableColumn id="2" name="Источник"/>
    <x:tableColumn id="3" name="URL / path"/>
    <x:tableColumn id="4" name="Тип"/>
    <x:tableColumn id="5" name="Что подтверждае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520b8b792c44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0de1d4f526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34ba53e754945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12616198b27d4c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24" hidden="0" customWidth="1"/>
    <x:col min="11" max="11" width="12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138" t="str">
        <x:v>TESTENCE — прозрачный конкурентный бенчмарк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</x:row>
    <x:row r="2" ht="30" customHeight="1">
      <x:c r="A2" s="139" t="str">
        <x:v>Рынок, проверяемые критерии, локальные замеры и решения. Дата среза: 28.08.2026. Жёлтые зоны — пробелы продукта или измерений.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  <x:c r="P2" s="139"/>
      <x:c r="Q2" s="139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  <x:c r="L3" s="140"/>
      <x:c r="M3" s="140"/>
      <x:c r="N3" s="140"/>
      <x:c r="O3" s="140"/>
      <x:c r="P3" s="140"/>
      <x:c r="Q3" s="140"/>
    </x:row>
    <x:row r="4">
      <x:c r="A4" s="141" t="str">
        <x:v>Покрытие рынка</x:v>
      </x:c>
      <x:c r="B4" s="141"/>
      <x:c r="C4" s="141"/>
      <x:c r="D4" s="141"/>
      <x:c r="E4" s="140"/>
      <x:c r="F4" s="141" t="str">
        <x:v>Replay: Testence vs PW</x:v>
      </x:c>
      <x:c r="G4" s="141"/>
      <x:c r="H4" s="141"/>
      <x:c r="I4" s="141"/>
      <x:c r="J4" s="140"/>
      <x:c r="K4" s="141" t="str">
        <x:v>Truth corpus</x:v>
      </x:c>
      <x:c r="L4" s="141"/>
      <x:c r="M4" s="141"/>
      <x:c r="N4" s="141"/>
      <x:c r="O4" s="140"/>
      <x:c r="P4" s="140"/>
      <x:c r="Q4" s="140"/>
    </x:row>
    <x:row r="5">
      <x:c r="A5" s="142" t="n">
        <x:f>'Market Map'!A51</x:f>
        <x:v>45</x:v>
      </x:c>
      <x:c r="B5" s="143"/>
      <x:c r="C5" s="143"/>
      <x:c r="D5" s="144"/>
      <x:c r="E5" s="140"/>
      <x:c r="F5" s="145" t="n">
        <x:f>'Benchmark'!D5/'Benchmark'!D6-1</x:f>
        <x:v>-0.27493138151875574</x:v>
      </x:c>
      <x:c r="G5" s="143"/>
      <x:c r="H5" s="143"/>
      <x:c r="I5" s="144"/>
      <x:c r="J5" s="140"/>
      <x:c r="K5" s="146" t="n">
        <x:f>'Benchmark'!B25</x:f>
        <x:v>51</x:v>
      </x:c>
      <x:c r="L5" s="143"/>
      <x:c r="M5" s="143"/>
      <x:c r="N5" s="144"/>
      <x:c r="O5" s="140"/>
      <x:c r="P5" s="140"/>
      <x:c r="Q5" s="140"/>
    </x:row>
    <x:row r="6">
      <x:c r="A6" s="147"/>
      <x:c r="B6" s="148"/>
      <x:c r="C6" s="148"/>
      <x:c r="D6" s="149"/>
      <x:c r="E6" s="140"/>
      <x:c r="F6" s="147"/>
      <x:c r="G6" s="148"/>
      <x:c r="H6" s="148"/>
      <x:c r="I6" s="149"/>
      <x:c r="J6" s="140"/>
      <x:c r="K6" s="147"/>
      <x:c r="L6" s="148"/>
      <x:c r="M6" s="148"/>
      <x:c r="N6" s="149"/>
      <x:c r="O6" s="140"/>
      <x:c r="P6" s="140"/>
      <x:c r="Q6" s="140"/>
    </x:row>
    <x:row r="7">
      <x:c r="A7" s="140"/>
      <x:c r="B7" s="140"/>
      <x:c r="C7" s="140"/>
      <x:c r="D7" s="140"/>
      <x:c r="E7" s="140"/>
      <x:c r="F7" s="140"/>
      <x:c r="G7" s="140"/>
      <x:c r="H7" s="140"/>
      <x:c r="I7" s="140"/>
      <x:c r="J7" s="140"/>
      <x:c r="K7" s="140"/>
      <x:c r="L7" s="140"/>
      <x:c r="M7" s="140"/>
      <x:c r="N7" s="140"/>
      <x:c r="O7" s="140"/>
      <x:c r="P7" s="140"/>
      <x:c r="Q7" s="140"/>
    </x:row>
    <x:row r="8">
      <x:c r="A8" s="150" t="str">
        <x:v>Результат по задачам — одного абсолютного победителя нет</x:v>
      </x:c>
      <x:c r="B8" s="151"/>
      <x:c r="C8" s="151"/>
      <x:c r="D8" s="151"/>
      <x:c r="E8" s="151"/>
      <x:c r="F8" s="151"/>
      <x:c r="G8" s="151"/>
      <x:c r="H8" s="151"/>
      <x:c r="I8" s="151"/>
      <x:c r="J8" s="150" t="str">
        <x:v>Взвешенный балл по документированной матрице</x:v>
      </x:c>
      <x:c r="K8" s="151"/>
      <x:c r="L8" s="151"/>
      <x:c r="M8" s="151"/>
      <x:c r="N8" s="151"/>
      <x:c r="O8" s="151"/>
      <x:c r="P8" s="151"/>
      <x:c r="Q8" s="152"/>
    </x:row>
    <x:row r="9" ht="30" customHeight="1">
      <x:c r="A9" s="153" t="str">
        <x:v>Задача</x:v>
      </x:c>
      <x:c r="B9" s="154" t="str">
        <x:v>Текущий ориентир</x:v>
      </x:c>
      <x:c r="C9" s="154" t="str">
        <x:v>Почему</x:v>
      </x:c>
      <x:c r="D9" s="154" t="str">
        <x:v>Статус</x:v>
      </x:c>
      <x:c r="E9" s="154" t="str">
        <x:v>Следующее доказательство</x:v>
      </x:c>
      <x:c r="F9" s="154" t="str">
        <x:v>Владелец</x:v>
      </x:c>
      <x:c r="G9" s="154" t="str">
        <x:v>Приоритет</x:v>
      </x:c>
      <x:c r="H9" s="155" t="str">
        <x:v>Решение</x:v>
      </x:c>
      <x:c r="I9" s="140"/>
      <x:c r="J9" s="153" t="str">
        <x:v>Продукт</x:v>
      </x:c>
      <x:c r="K9" s="155" t="str">
        <x:v>Баллы</x:v>
      </x:c>
      <x:c r="L9" s="140"/>
      <x:c r="M9" s="140"/>
      <x:c r="N9" s="140"/>
      <x:c r="O9" s="140"/>
      <x:c r="P9" s="140"/>
      <x:c r="Q9" s="140"/>
    </x:row>
    <x:row r="10">
      <x:c r="A10" s="56" t="str">
        <x:v>Open/repo-first authoring</x:v>
      </x:c>
      <x:c r="B10" s="56" t="str">
        <x:v>Playwright Test Agents</x:v>
      </x:c>
      <x:c r="C10" s="56" t="str">
        <x:v>Уже поставляет planner/generator/healer поверх зрелого runner</x:v>
      </x:c>
      <x:c r="D10" s="56" t="str">
        <x:v>Документировано</x:v>
      </x:c>
      <x:c r="E10" s="56" t="str">
        <x:v>3 authoring trials на общем SUT</x:v>
      </x:c>
      <x:c r="F10" s="56" t="str">
        <x:v>Product + QA</x:v>
      </x:c>
      <x:c r="G10" s="56" t="str">
        <x:v>P0</x:v>
      </x:c>
      <x:c r="H10" s="56" t="str">
        <x:v>Сравнить first-green и review time</x:v>
      </x:c>
      <x:c r="I10" s="140"/>
      <x:c r="J10" s="56" t="str">
        <x:f>'Direct Matrix'!A5</x:f>
        <x:v>Testence</x:v>
      </x:c>
      <x:c r="K10" s="67" t="n">
        <x:f>'Direct Matrix'!U5</x:f>
        <x:v>0.5818181818181818</x:v>
      </x:c>
      <x:c r="L10" s="140"/>
      <x:c r="M10" s="140"/>
      <x:c r="N10" s="140"/>
      <x:c r="O10" s="140"/>
      <x:c r="P10" s="140"/>
      <x:c r="Q10" s="140"/>
    </x:row>
    <x:row r="11">
      <x:c r="A11" s="57" t="str">
        <x:v>Enterprise assurance</x:v>
      </x:c>
      <x:c r="B11" s="57" t="str">
        <x:v>Virtuoso / Leapwork</x:v>
      </x:c>
      <x:c r="C11" s="57" t="str">
        <x:v>Review, deterministic execution, governance и evidence уже заявлены как продукт</x:v>
      </x:c>
      <x:c r="D11" s="57" t="str">
        <x:v>Только docs</x:v>
      </x:c>
      <x:c r="E11" s="57" t="str">
        <x:v>Vendor trial + raw export</x:v>
      </x:c>
      <x:c r="F11" s="57" t="str">
        <x:v>Product</x:v>
      </x:c>
      <x:c r="G11" s="57" t="str">
        <x:v>P0</x:v>
      </x:c>
      <x:c r="H11" s="57" t="str">
        <x:v>Не объявлять победителя до hands-on</x:v>
      </x:c>
      <x:c r="I11" s="140"/>
      <x:c r="J11" s="57" t="str">
        <x:f>'Direct Matrix'!A6</x:f>
        <x:v>Playwright Test Agents</x:v>
      </x:c>
      <x:c r="K11" s="68" t="n">
        <x:f>'Direct Matrix'!U6</x:f>
        <x:v>0.7772727272727272</x:v>
      </x:c>
      <x:c r="L11" s="140"/>
      <x:c r="M11" s="140"/>
      <x:c r="N11" s="140"/>
      <x:c r="O11" s="140"/>
      <x:c r="P11" s="140"/>
      <x:c r="Q11" s="140"/>
    </x:row>
    <x:row r="12">
      <x:c r="A12" s="57" t="str">
        <x:v>Local natural-language UX</x:v>
      </x:c>
      <x:c r="B12" s="57" t="str">
        <x:v>Momentic</x:v>
      </x:c>
      <x:c r="C12" s="57" t="str">
        <x:v>Repo YAML, local/CI и агентный цикл</x:v>
      </x:c>
      <x:c r="D12" s="57" t="str">
        <x:v>Только docs</x:v>
      </x:c>
      <x:c r="E12" s="57" t="str">
        <x:v>Локальный trial на том же requirement</x:v>
      </x:c>
      <x:c r="F12" s="57" t="str">
        <x:v>DX</x:v>
      </x:c>
      <x:c r="G12" s="57" t="str">
        <x:v>P1</x:v>
      </x:c>
      <x:c r="H12" s="57" t="str">
        <x:v>Использовать как UX benchmark</x:v>
      </x:c>
      <x:c r="I12" s="140"/>
      <x:c r="J12" s="57" t="str">
        <x:f>'Direct Matrix'!A7</x:f>
        <x:v>Virtuoso Touchstone</x:v>
      </x:c>
      <x:c r="K12" s="68" t="n">
        <x:f>'Direct Matrix'!U7</x:f>
        <x:v>0.7545454545454545</x:v>
      </x:c>
      <x:c r="L12" s="140"/>
      <x:c r="M12" s="140"/>
      <x:c r="N12" s="140"/>
      <x:c r="O12" s="140"/>
      <x:c r="P12" s="140"/>
      <x:c r="Q12" s="140"/>
    </x:row>
    <x:row r="13">
      <x:c r="A13" s="57" t="str">
        <x:v>Managed coverage outcome</x:v>
      </x:c>
      <x:c r="B13" s="57" t="str">
        <x:v>QA Wolf</x:v>
      </x:c>
      <x:c r="C13" s="57" t="str">
        <x:v>Продаёт результат и операционную ответственность</x:v>
      </x:c>
      <x:c r="D13" s="57" t="str">
        <x:v>Отдельный трек</x:v>
      </x:c>
      <x:c r="E13" s="57" t="str">
        <x:v>Сравнить TCO/coverage, не ms</x:v>
      </x:c>
      <x:c r="F13" s="57" t="str">
        <x:v>Leadership</x:v>
      </x:c>
      <x:c r="G13" s="57" t="str">
        <x:v>P1</x:v>
      </x:c>
      <x:c r="H13" s="57" t="str">
        <x:v>Не смешивать с tool benchmark</x:v>
      </x:c>
      <x:c r="I13" s="140"/>
      <x:c r="J13" s="57" t="str">
        <x:f>'Direct Matrix'!A8</x:f>
        <x:v>Leapwork Play</x:v>
      </x:c>
      <x:c r="K13" s="68" t="n">
        <x:f>'Direct Matrix'!U8</x:f>
        <x:v>0.759090909090909</x:v>
      </x:c>
      <x:c r="L13" s="140"/>
      <x:c r="M13" s="140"/>
      <x:c r="N13" s="140"/>
      <x:c r="O13" s="140"/>
      <x:c r="P13" s="140"/>
      <x:c r="Q13" s="140"/>
    </x:row>
    <x:row r="14">
      <x:c r="A14" s="58" t="str">
        <x:v>Truth/evidence wedge</x:v>
      </x:c>
      <x:c r="B14" s="58" t="str">
        <x:v>Testence</x:v>
      </x:c>
      <x:c r="C14" s="58" t="str">
        <x:v>Публичный truth corpus, same-session oracle, open evidence schema</x:v>
      </x:c>
      <x:c r="D14" s="58" t="str">
        <x:v>Локально измерено</x:v>
      </x:c>
      <x:c r="E14" s="58" t="str">
        <x:v>Расширить corpus и shipped flow</x:v>
      </x:c>
      <x:c r="F14" s="58" t="str">
        <x:v>Testence</x:v>
      </x:c>
      <x:c r="G14" s="58" t="str">
        <x:v>P0</x:v>
      </x:c>
      <x:c r="H14" s="58" t="str">
        <x:v>Защищать открытостью и измеримостью</x:v>
      </x:c>
      <x:c r="I14" s="140"/>
      <x:c r="J14" s="57" t="str">
        <x:f>'Direct Matrix'!A9</x:f>
        <x:v>Functionize Studio</x:v>
      </x:c>
      <x:c r="K14" s="68" t="n">
        <x:f>'Direct Matrix'!U9</x:f>
        <x:v>0.6318181818181818</x:v>
      </x:c>
      <x:c r="L14" s="140"/>
      <x:c r="M14" s="140"/>
      <x:c r="N14" s="140"/>
      <x:c r="O14" s="140"/>
      <x:c r="P14" s="140"/>
      <x:c r="Q14" s="140"/>
    </x:row>
    <x:row r="15">
      <x:c r="A15" s="140"/>
      <x:c r="B15" s="140"/>
      <x:c r="C15" s="140"/>
      <x:c r="D15" s="140"/>
      <x:c r="E15" s="140"/>
      <x:c r="F15" s="140"/>
      <x:c r="G15" s="140"/>
      <x:c r="H15" s="140"/>
      <x:c r="I15" s="140"/>
      <x:c r="J15" s="57" t="str">
        <x:f>'Direct Matrix'!A10</x:f>
        <x:v>Applitools Autonomous</x:v>
      </x:c>
      <x:c r="K15" s="68" t="n">
        <x:f>'Direct Matrix'!U10</x:f>
        <x:v>0.5772727272727273</x:v>
      </x:c>
      <x:c r="L15" s="140"/>
      <x:c r="M15" s="140"/>
      <x:c r="N15" s="140"/>
      <x:c r="O15" s="140"/>
      <x:c r="P15" s="140"/>
      <x:c r="Q15" s="140"/>
    </x:row>
    <x:row r="16">
      <x:c r="A16" s="150" t="str">
        <x:v>Что уже можно честно утверждать</x:v>
      </x:c>
      <x:c r="B16" s="151"/>
      <x:c r="C16" s="151"/>
      <x:c r="D16" s="151"/>
      <x:c r="E16" s="151"/>
      <x:c r="F16" s="151"/>
      <x:c r="G16" s="151"/>
      <x:c r="H16" s="152"/>
      <x:c r="I16" s="140"/>
      <x:c r="J16" s="57" t="str">
        <x:f>'Direct Matrix'!A11</x:f>
        <x:v>Momentic</x:v>
      </x:c>
      <x:c r="K16" s="68" t="n">
        <x:f>'Direct Matrix'!U11</x:f>
        <x:v>0.6727272727272727</x:v>
      </x:c>
      <x:c r="L16" s="140"/>
      <x:c r="M16" s="140"/>
      <x:c r="N16" s="140"/>
      <x:c r="O16" s="140"/>
      <x:c r="P16" s="140"/>
      <x:c r="Q16" s="140"/>
    </x:row>
    <x:row r="17">
      <x:c r="A17" s="56" t="str">
        <x:v>1</x:v>
      </x:c>
      <x:c r="B17" s="56" t="str">
        <x:v>Replay</x:v>
      </x:c>
      <x:c r="C17" s="56" t="str">
        <x:v>Testence median 1743.5 ms против Playwright Test 2404.6 ms</x:v>
      </x:c>
      <x:c r="D17" s="56" t="str">
        <x:v>27,5% ниже</x:v>
      </x:c>
      <x:c r="E17" s="56" t="str">
        <x:v>7 повторов</x:v>
      </x:c>
      <x:c r="F17" s="56" t="str">
        <x:v>Один Windows host</x:v>
      </x:c>
      <x:c r="G17" s="56" t="str">
        <x:v>Измерено</x:v>
      </x:c>
      <x:c r="H17" s="56" t="str">
        <x:v>Локальное преимущество; перепроверять на suite</x:v>
      </x:c>
      <x:c r="I17" s="140"/>
      <x:c r="J17" s="57" t="str">
        <x:f>'Direct Matrix'!A12</x:f>
        <x:v>QA Wolf</x:v>
      </x:c>
      <x:c r="K17" s="68" t="n">
        <x:f>'Direct Matrix'!U12</x:f>
        <x:v>0.7909090909090909</x:v>
      </x:c>
      <x:c r="L17" s="140"/>
      <x:c r="M17" s="140"/>
      <x:c r="N17" s="140"/>
      <x:c r="O17" s="140"/>
      <x:c r="P17" s="140"/>
      <x:c r="Q17" s="140"/>
    </x:row>
    <x:row r="18">
      <x:c r="A18" s="57" t="str">
        <x:v>2</x:v>
      </x:c>
      <x:c r="B18" s="57" t="str">
        <x:v>Исходник</x:v>
      </x:c>
      <x:c r="C18" s="57" t="str">
        <x:v>13 против 21 непустой non-comment строки</x:v>
      </x:c>
      <x:c r="D18" s="57" t="str">
        <x:v>−38%</x:v>
      </x:c>
      <x:c r="E18" s="57" t="str">
        <x:v>Прозрачный proxy</x:v>
      </x:c>
      <x:c r="F18" s="57" t="str">
        <x:v>Не authoring time</x:v>
      </x:c>
      <x:c r="G18" s="57" t="str">
        <x:v>Измерено</x:v>
      </x:c>
      <x:c r="H18" s="57" t="str">
        <x:v>Проверить в authoring trial</x:v>
      </x:c>
      <x:c r="I18" s="140"/>
      <x:c r="J18" s="57" t="str">
        <x:f>'Direct Matrix'!A13</x:f>
        <x:v>KaneAI</x:v>
      </x:c>
      <x:c r="K18" s="68" t="n">
        <x:f>'Direct Matrix'!U13</x:f>
        <x:v>0.8318181818181818</x:v>
      </x:c>
      <x:c r="L18" s="140"/>
      <x:c r="M18" s="140"/>
      <x:c r="N18" s="140"/>
      <x:c r="O18" s="140"/>
      <x:c r="P18" s="140"/>
      <x:c r="Q18" s="140"/>
    </x:row>
    <x:row r="19">
      <x:c r="A19" s="57" t="str">
        <x:v>3</x:v>
      </x:c>
      <x:c r="B19" s="57" t="str">
        <x:v>Correctness</x:v>
      </x:c>
      <x:c r="C19" s="57" t="str">
        <x:v>51/51 item-runs: outcome/right-reason/heal = 1,0</x:v>
      </x:c>
      <x:c r="D19" s="57" t="str">
        <x:v>0 false green/red</x:v>
      </x:c>
      <x:c r="E19" s="57" t="str">
        <x:v>3 повтора</x:v>
      </x:c>
      <x:c r="F19" s="57" t="str">
        <x:v>Синтетический smoke floor</x:v>
      </x:c>
      <x:c r="G19" s="57" t="str">
        <x:v>Измерено</x:v>
      </x:c>
      <x:c r="H19" s="57" t="str">
        <x:v>Усложнить корпус</x:v>
      </x:c>
      <x:c r="I19" s="140"/>
      <x:c r="J19" s="57" t="str">
        <x:f>'Direct Matrix'!A14</x:f>
        <x:v>BrowserStack Agentic Low Code</x:v>
      </x:c>
      <x:c r="K19" s="68" t="n">
        <x:f>'Direct Matrix'!U14</x:f>
        <x:v>0.6909090909090909</x:v>
      </x:c>
      <x:c r="L19" s="140"/>
      <x:c r="M19" s="140"/>
      <x:c r="N19" s="140"/>
      <x:c r="O19" s="140"/>
      <x:c r="P19" s="140"/>
      <x:c r="Q19" s="140"/>
    </x:row>
    <x:row r="20">
      <x:c r="A20" s="58" t="str">
        <x:v>4</x:v>
      </x:c>
      <x:c r="B20" s="58" t="str">
        <x:v>Рынок</x:v>
      </x:c>
      <x:c r="C20" s="58" t="str">
        <x:v>AI + deterministic execution больше не уникальны</x:v>
      </x:c>
      <x:c r="D20" s="58" t="str">
        <x:v>Конвергенция</x:v>
      </x:c>
      <x:c r="E20" s="58" t="str">
        <x:v>Официальные docs</x:v>
      </x:c>
      <x:c r="F20" s="58" t="str">
        <x:v>Не hands-on</x:v>
      </x:c>
      <x:c r="G20" s="58" t="str">
        <x:v>Вывод</x:v>
      </x:c>
      <x:c r="H20" s="58" t="str">
        <x:v>Фокус на open trust layer</x:v>
      </x:c>
      <x:c r="I20" s="140"/>
      <x:c r="J20" s="57" t="str">
        <x:f>'Direct Matrix'!A15</x:f>
        <x:v>SmartBear Reflect</x:v>
      </x:c>
      <x:c r="K20" s="68" t="n">
        <x:f>'Direct Matrix'!U15</x:f>
        <x:v>0.6318181818181818</x:v>
      </x:c>
      <x:c r="L20" s="140"/>
      <x:c r="M20" s="140"/>
      <x:c r="N20" s="140"/>
      <x:c r="O20" s="140"/>
      <x:c r="P20" s="140"/>
      <x:c r="Q20" s="140"/>
    </x:row>
    <x:row r="21">
      <x:c r="A21" s="140"/>
      <x:c r="B21" s="140"/>
      <x:c r="C21" s="140"/>
      <x:c r="D21" s="140"/>
      <x:c r="E21" s="140"/>
      <x:c r="F21" s="140"/>
      <x:c r="G21" s="140"/>
      <x:c r="H21" s="140"/>
      <x:c r="I21" s="140"/>
      <x:c r="J21" s="58" t="str">
        <x:f>'Direct Matrix'!A16</x:f>
        <x:v>mabl</x:v>
      </x:c>
      <x:c r="K21" s="69" t="n">
        <x:f>'Direct Matrix'!U16</x:f>
        <x:v>0.6454545454545455</x:v>
      </x:c>
      <x:c r="L21" s="140"/>
      <x:c r="M21" s="140"/>
      <x:c r="N21" s="140"/>
      <x:c r="O21" s="140"/>
      <x:c r="P21" s="140"/>
      <x:c r="Q21" s="140"/>
    </x:row>
    <x:row r="22">
      <x:c r="A22" s="140"/>
      <x:c r="B22" s="140"/>
      <x:c r="C22" s="140"/>
      <x:c r="D22" s="140"/>
      <x:c r="E22" s="140"/>
      <x:c r="F22" s="140"/>
      <x:c r="G22" s="140"/>
      <x:c r="H22" s="140"/>
      <x:c r="I22" s="140"/>
      <x:c r="J22" s="140"/>
      <x:c r="K22" s="140"/>
      <x:c r="L22" s="140"/>
      <x:c r="M22" s="140"/>
      <x:c r="N22" s="140"/>
      <x:c r="O22" s="140"/>
      <x:c r="P22" s="140"/>
      <x:c r="Q22" s="140"/>
    </x:row>
    <x:row r="23">
      <x:c r="A23" s="150" t="str">
        <x:v>Приоритетные пробелы Testence</x:v>
      </x:c>
      <x:c r="B23" s="151"/>
      <x:c r="C23" s="151"/>
      <x:c r="D23" s="151"/>
      <x:c r="E23" s="151"/>
      <x:c r="F23" s="151"/>
      <x:c r="G23" s="151"/>
      <x:c r="H23" s="152"/>
      <x:c r="I23" s="140"/>
      <x:c r="J23" s="140"/>
      <x:c r="K23" s="140"/>
      <x:c r="L23" s="140"/>
      <x:c r="M23" s="140"/>
      <x:c r="N23" s="140"/>
      <x:c r="O23" s="140"/>
      <x:c r="P23" s="140"/>
      <x:c r="Q23" s="140"/>
    </x:row>
    <x:row r="24">
      <x:c r="A24" s="56" t="str">
        <x:v>P0</x:v>
      </x:c>
      <x:c r="B24" s="56" t="str">
        <x:v>Shipped end-to-end agent flow</x:v>
      </x:c>
      <x:c r="C24" s="56" t="str">
        <x:v>Сейчас архитектура и части сильнее полного пользовательского пути</x:v>
      </x:c>
      <x:c r="D24" s="56" t="str">
        <x:v>Time-to-first-value</x:v>
      </x:c>
      <x:c r="E24" s="56" t="str">
        <x:v>Пройти requirement → plan → code → run → evidence без ручных стыков</x:v>
      </x:c>
      <x:c r="F24" s="56" t="str">
        <x:v>В работе</x:v>
      </x:c>
      <x:c r="G24" s="56" t="str">
        <x:v>Высокий</x:v>
      </x:c>
      <x:c r="H24" s="56" t="str">
        <x:v>Прямой риск</x:v>
      </x:c>
      <x:c r="I24" s="140"/>
      <x:c r="J24" s="140"/>
      <x:c r="K24" s="140"/>
      <x:c r="L24" s="140"/>
      <x:c r="M24" s="140"/>
      <x:c r="N24" s="140"/>
      <x:c r="O24" s="140"/>
      <x:c r="P24" s="140"/>
      <x:c r="Q24" s="140"/>
    </x:row>
    <x:row r="25">
      <x:c r="A25" s="57" t="str">
        <x:v>P0</x:v>
      </x:c>
      <x:c r="B25" s="57" t="str">
        <x:v>Security/redaction</x:v>
      </x:c>
      <x:c r="C25" s="57" t="str">
        <x:v>Evidence может содержать токены и PII</x:v>
      </x:c>
      <x:c r="D25" s="57" t="str">
        <x:v>Trust</x:v>
      </x:c>
      <x:c r="E25" s="57" t="str">
        <x:v>Redaction policy + regression corpus</x:v>
      </x:c>
      <x:c r="F25" s="57" t="str">
        <x:v>Gap</x:v>
      </x:c>
      <x:c r="G25" s="57" t="str">
        <x:v>Высокий</x:v>
      </x:c>
      <x:c r="H25" s="57" t="str">
        <x:v>Enterprise blocker</x:v>
      </x:c>
      <x:c r="I25" s="140"/>
      <x:c r="J25" s="140"/>
      <x:c r="K25" s="140"/>
      <x:c r="L25" s="140"/>
      <x:c r="M25" s="140"/>
      <x:c r="N25" s="140"/>
      <x:c r="O25" s="140"/>
      <x:c r="P25" s="140"/>
      <x:c r="Q25" s="140"/>
    </x:row>
    <x:row r="26">
      <x:c r="A26" s="57" t="str">
        <x:v>P1</x:v>
      </x:c>
      <x:c r="B26" s="57" t="str">
        <x:v>Cross-browser</x:v>
      </x:c>
      <x:c r="C26" s="57" t="str">
        <x:v>Прямые конкуренты опираются на зрелые cloud/grid возможности</x:v>
      </x:c>
      <x:c r="D26" s="57" t="str">
        <x:v>Coverage</x:v>
      </x:c>
      <x:c r="E26" s="57" t="str">
        <x:v>Chromium + Firefox + WebKit green lane</x:v>
      </x:c>
      <x:c r="F26" s="57" t="str">
        <x:v>Gap</x:v>
      </x:c>
      <x:c r="G26" s="57" t="str">
        <x:v>Средний</x:v>
      </x:c>
      <x:c r="H26" s="57" t="str">
        <x:v>Table stakes</x:v>
      </x:c>
      <x:c r="I26" s="140"/>
      <x:c r="J26" s="140"/>
      <x:c r="K26" s="140"/>
      <x:c r="L26" s="140"/>
      <x:c r="M26" s="140"/>
      <x:c r="N26" s="140"/>
      <x:c r="O26" s="140"/>
      <x:c r="P26" s="140"/>
      <x:c r="Q26" s="140"/>
    </x:row>
    <x:row r="27">
      <x:c r="A27" s="57" t="str">
        <x:v>P1</x:v>
      </x:c>
      <x:c r="B27" s="57" t="str">
        <x:v>Trace viewer и failure grouping</x:v>
      </x:c>
      <x:c r="C27" s="57" t="str">
        <x:v>Сырые evidence-файлы слабее готового triage UX</x:v>
      </x:c>
      <x:c r="D27" s="57" t="str">
        <x:v>MTTR</x:v>
      </x:c>
      <x:c r="E27" s="57" t="str">
        <x:v>Bounded evidence UI + clustering</x:v>
      </x:c>
      <x:c r="F27" s="57" t="str">
        <x:v>Gap</x:v>
      </x:c>
      <x:c r="G27" s="57" t="str">
        <x:v>Средний</x:v>
      </x:c>
      <x:c r="H27" s="57" t="str">
        <x:v>DX</x:v>
      </x:c>
      <x:c r="I27" s="140"/>
      <x:c r="J27" s="140"/>
      <x:c r="K27" s="140"/>
      <x:c r="L27" s="140"/>
      <x:c r="M27" s="140"/>
      <x:c r="N27" s="140"/>
      <x:c r="O27" s="140"/>
      <x:c r="P27" s="140"/>
      <x:c r="Q27" s="140"/>
    </x:row>
    <x:row r="28">
      <x:c r="A28" s="57" t="str">
        <x:v>P1</x:v>
      </x:c>
      <x:c r="B28" s="57" t="str">
        <x:v>Visual + accessibility</x:v>
      </x:c>
      <x:c r="C28" s="57" t="str">
        <x:v>Нет first-class продуктового слоя</x:v>
      </x:c>
      <x:c r="D28" s="57" t="str">
        <x:v>Breadth</x:v>
      </x:c>
      <x:c r="E28" s="57" t="str">
        <x:v>Baseline checks и evidence contract</x:v>
      </x:c>
      <x:c r="F28" s="57" t="str">
        <x:v>Gap</x:v>
      </x:c>
      <x:c r="G28" s="57" t="str">
        <x:v>Средний</x:v>
      </x:c>
      <x:c r="H28" s="57" t="str">
        <x:v>Expansion</x:v>
      </x:c>
      <x:c r="I28" s="140"/>
      <x:c r="J28" s="140"/>
      <x:c r="K28" s="140"/>
      <x:c r="L28" s="140"/>
      <x:c r="M28" s="140"/>
      <x:c r="N28" s="140"/>
      <x:c r="O28" s="140"/>
      <x:c r="P28" s="140"/>
      <x:c r="Q28" s="140"/>
    </x:row>
    <x:row r="29">
      <x:c r="A29" s="58" t="str">
        <x:v>P1</x:v>
      </x:c>
      <x:c r="B29" s="58" t="str">
        <x:v>Harder truth corpus</x:v>
      </x:c>
      <x:c r="C29" s="58" t="str">
        <x:v>Текущий corpus насыщен и синтетичен</x:v>
      </x:c>
      <x:c r="D29" s="58" t="str">
        <x:v>Credibility</x:v>
      </x:c>
      <x:c r="E29" s="58" t="str">
        <x:v>A-stratum, multi-page, concurrency, vendor arms</x:v>
      </x:c>
      <x:c r="F29" s="58" t="str">
        <x:v>Gap</x:v>
      </x:c>
      <x:c r="G29" s="58" t="str">
        <x:v>Высокий</x:v>
      </x:c>
      <x:c r="H29" s="58" t="str">
        <x:v>Benchmark moat</x:v>
      </x:c>
      <x:c r="I29" s="140"/>
      <x:c r="J29" s="140"/>
      <x:c r="K29" s="140"/>
      <x:c r="L29" s="140"/>
      <x:c r="M29" s="140"/>
      <x:c r="N29" s="140"/>
      <x:c r="O29" s="140"/>
      <x:c r="P29" s="140"/>
      <x:c r="Q29" s="140"/>
    </x:row>
    <x:row r="30">
      <x:c r="A30" s="140"/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  <x:c r="L30" s="140"/>
      <x:c r="M30" s="140"/>
      <x:c r="N30" s="140"/>
      <x:c r="O30" s="140"/>
      <x:c r="P30" s="140"/>
      <x:c r="Q30" s="140"/>
    </x:row>
    <x:row r="31">
      <x:c r="A31" s="140"/>
      <x:c r="B31" s="140"/>
      <x:c r="C31" s="140"/>
      <x:c r="D31" s="140"/>
      <x:c r="E31" s="140"/>
      <x:c r="F31" s="140"/>
      <x:c r="G31" s="140"/>
      <x:c r="H31" s="140"/>
      <x:c r="I31" s="140"/>
      <x:c r="J31" s="140"/>
      <x:c r="K31" s="140"/>
      <x:c r="L31" s="140"/>
      <x:c r="M31" s="140"/>
      <x:c r="N31" s="140"/>
      <x:c r="O31" s="140"/>
      <x:c r="P31" s="140"/>
      <x:c r="Q31" s="140"/>
    </x:row>
    <x:row r="32">
      <x:c r="A32" s="156" t="str">
        <x:v>Как читать книгу: Market Map — полный классификатор; Direct Matrix — редактируемые веса и 0/1/2 оценки; Benchmark — сырые выборки и формулы; Protocol — правила будущих authoring/maintenance замеров; Sources — первоисточники. Баллы не заменяют hands-on: уровень 1 означает vendor claim, уровень 2 — документацию, уровень 3 — локальный повторяемый замер.</x:v>
      </x:c>
      <x:c r="B32" s="157"/>
      <x:c r="C32" s="157"/>
      <x:c r="D32" s="157"/>
      <x:c r="E32" s="157"/>
      <x:c r="F32" s="157"/>
      <x:c r="G32" s="157"/>
      <x:c r="H32" s="157"/>
      <x:c r="I32" s="157"/>
      <x:c r="J32" s="157"/>
      <x:c r="K32" s="157"/>
      <x:c r="L32" s="157"/>
      <x:c r="M32" s="157"/>
      <x:c r="N32" s="157"/>
      <x:c r="O32" s="157"/>
      <x:c r="P32" s="157"/>
      <x:c r="Q32" s="158"/>
    </x:row>
    <x:row r="33">
      <x:c r="A33" s="159"/>
      <x:c r="B33" s="160"/>
      <x:c r="C33" s="160"/>
      <x:c r="D33" s="160"/>
      <x:c r="E33" s="160"/>
      <x:c r="F33" s="160"/>
      <x:c r="G33" s="160"/>
      <x:c r="H33" s="160"/>
      <x:c r="I33" s="160"/>
      <x:c r="J33" s="160"/>
      <x:c r="K33" s="160"/>
      <x:c r="L33" s="160"/>
      <x:c r="M33" s="160"/>
      <x:c r="N33" s="160"/>
      <x:c r="O33" s="160"/>
      <x:c r="P33" s="160"/>
      <x:c r="Q33" s="161"/>
    </x:row>
    <x:row r="34">
      <x:c r="A34" s="159"/>
      <x:c r="B34" s="160"/>
      <x:c r="C34" s="160"/>
      <x:c r="D34" s="160"/>
      <x:c r="E34" s="160"/>
      <x:c r="F34" s="160"/>
      <x:c r="G34" s="160"/>
      <x:c r="H34" s="160"/>
      <x:c r="I34" s="160"/>
      <x:c r="J34" s="160"/>
      <x:c r="K34" s="160"/>
      <x:c r="L34" s="160"/>
      <x:c r="M34" s="160"/>
      <x:c r="N34" s="160"/>
      <x:c r="O34" s="160"/>
      <x:c r="P34" s="160"/>
      <x:c r="Q34" s="161"/>
    </x:row>
    <x:row r="35">
      <x:c r="A35" s="162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4"/>
    </x:row>
  </x:sheetData>
  <x:mergeCells>
    <x:mergeCell ref="A1:Q1"/>
    <x:mergeCell ref="A2:Q2"/>
    <x:mergeCell ref="A4:D4"/>
    <x:mergeCell ref="A5:D6"/>
    <x:mergeCell ref="F4:I4"/>
    <x:mergeCell ref="F5:I6"/>
    <x:mergeCell ref="K4:N4"/>
    <x:mergeCell ref="K5:N6"/>
    <x:mergeCell ref="A8:Q8"/>
    <x:mergeCell ref="A16:H16"/>
    <x:mergeCell ref="J8:Q8"/>
    <x:mergeCell ref="A23:H23"/>
    <x:mergeCell ref="A32:Q35"/>
  </x:mergeCells>
  <x:conditionalFormatting sqref="K10:K2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5520b8b792c443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K10:K21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9" hidden="0" customWidth="1"/>
    <x:col min="5" max="5" width="28" hidden="0" customWidth="1"/>
    <x:col min="6" max="6" width="28" hidden="0" customWidth="1"/>
    <x:col min="7" max="7" width="28" hidden="0" customWidth="1"/>
    <x:col min="8" max="8" width="40" hidden="0" customWidth="1"/>
  </x:cols>
  <x:sheetData>
    <x:row r="1" ht="34" customHeight="1">
      <x:c r="A1" s="138" t="str">
        <x:v>Карта рынка</x:v>
      </x:c>
      <x:c r="B1" s="138"/>
      <x:c r="C1" s="138"/>
      <x:c r="D1" s="138"/>
      <x:c r="E1" s="138"/>
      <x:c r="F1" s="138"/>
      <x:c r="G1" s="138"/>
      <x:c r="H1" s="138"/>
    </x:row>
    <x:row r="2" ht="30" customHeight="1">
      <x:c r="A2" s="139" t="str">
        <x:v>45 инструментов: прямые конкуренты, альтернативы, базовые runner/framework и смежные компоненты.</x:v>
      </x:c>
      <x:c r="B2" s="139"/>
      <x:c r="C2" s="139"/>
      <x:c r="D2" s="139"/>
      <x:c r="E2" s="139"/>
      <x:c r="F2" s="139"/>
      <x:c r="G2" s="139"/>
      <x:c r="H2" s="139"/>
    </x:row>
    <x:row r="3">
      <x:c r="A3" s="140"/>
      <x:c r="B3" s="140"/>
      <x:c r="C3" s="140"/>
      <x:c r="D3" s="140"/>
      <x:c r="E3" s="140"/>
      <x:c r="F3" s="140"/>
      <x:c r="G3" s="140"/>
      <x:c r="H3" s="140"/>
    </x:row>
    <x:row r="4" ht="30" customHeight="1">
      <x:c r="A4" s="153" t="str">
        <x:v>Инструмент</x:v>
      </x:c>
      <x:c r="B4" s="154" t="str">
        <x:v>Класс</x:v>
      </x:c>
      <x:c r="C4" s="154" t="str">
        <x:v>Когорта</x:v>
      </x:c>
      <x:c r="D4" s="154" t="str">
        <x:v>Модель</x:v>
      </x:c>
      <x:c r="E4" s="154" t="str">
        <x:v>Authoring</x:v>
      </x:c>
      <x:c r="F4" s="154" t="str">
        <x:v>Execution</x:v>
      </x:c>
      <x:c r="G4" s="154" t="str">
        <x:v>Роль в сравнении</x:v>
      </x:c>
      <x:c r="H4" s="155" t="str">
        <x:v>Источник</x:v>
      </x:c>
    </x:row>
    <x:row r="5">
      <x:c r="A5" s="56" t="str">
        <x:v>Testence</x:v>
      </x:c>
      <x:c r="B5" s="56" t="str">
        <x:v>Agent-native verification</x:v>
      </x:c>
      <x:c r="C5" s="56" t="str">
        <x:v>Прямой</x:v>
      </x:c>
      <x:c r="D5" s="56" t="str">
        <x:v>Open/local</x:v>
      </x:c>
      <x:c r="E5" s="56" t="str">
        <x:v>Код агентом</x:v>
      </x:c>
      <x:c r="F5" s="56" t="str">
        <x:v>Pytest + Playwright, без LLM replay</x:v>
      </x:c>
      <x:c r="G5" s="56" t="str">
        <x:v>Наш продукт; trust/replay слой</x:v>
      </x:c>
      <x:c r="H5" s="56" t="str">
        <x:v>D:/Projects/testence/docs/ru/product-positioning.md</x:v>
      </x:c>
    </x:row>
    <x:row r="6">
      <x:c r="A6" s="57" t="str">
        <x:v>Playwright Test Agents</x:v>
      </x:c>
      <x:c r="B6" s="57" t="str">
        <x:v>Agent workflow + runner</x:v>
      </x:c>
      <x:c r="C6" s="57" t="str">
        <x:v>Прямой</x:v>
      </x:c>
      <x:c r="D6" s="57" t="str">
        <x:v>Open-source</x:v>
      </x:c>
      <x:c r="E6" s="57" t="str">
        <x:v>Planner/generator/healer</x:v>
      </x:c>
      <x:c r="F6" s="57" t="str">
        <x:v>Playwright Test</x:v>
      </x:c>
      <x:c r="G6" s="57" t="str">
        <x:v>Главный open baseline</x:v>
      </x:c>
      <x:c r="H6" s="57" t="str">
        <x:v>https://playwright.dev/docs/test-agents</x:v>
      </x:c>
    </x:row>
    <x:row r="7">
      <x:c r="A7" s="57" t="str">
        <x:v>Virtuoso Touchstone</x:v>
      </x:c>
      <x:c r="B7" s="57" t="str">
        <x:v>Enterprise assurance</x:v>
      </x:c>
      <x:c r="C7" s="57" t="str">
        <x:v>Прямой</x:v>
      </x:c>
      <x:c r="D7" s="57" t="str">
        <x:v>Hosted commercial</x:v>
      </x:c>
      <x:c r="E7" s="57" t="str">
        <x:v>Документы → reviewable diffs</x:v>
      </x:c>
      <x:c r="F7" s="57" t="str">
        <x:v>Deterministic engine</x:v>
      </x:c>
      <x:c r="G7" s="57" t="str">
        <x:v>Самая близкая evidence/governance угроза</x:v>
      </x:c>
      <x:c r="H7" s="57" t="str">
        <x:v>https://www.virtuosoqa.com/</x:v>
      </x:c>
    </x:row>
    <x:row r="8">
      <x:c r="A8" s="57" t="str">
        <x:v>Leapwork Play</x:v>
      </x:c>
      <x:c r="B8" s="57" t="str">
        <x:v>Continuous validation</x:v>
      </x:c>
      <x:c r="C8" s="57" t="str">
        <x:v>Прямой</x:v>
      </x:c>
      <x:c r="D8" s="57" t="str">
        <x:v>Hosted commercial</x:v>
      </x:c>
      <x:c r="E8" s="57" t="str">
        <x:v>AI plans + scripts</x:v>
      </x:c>
      <x:c r="F8" s="57" t="str">
        <x:v>Deterministic TypeScript/Playwright</x:v>
      </x:c>
      <x:c r="G8" s="57" t="str">
        <x:v>Enterprise governance baseline</x:v>
      </x:c>
      <x:c r="H8" s="57" t="str">
        <x:v>https://leapwork.com/leapwork-play/</x:v>
      </x:c>
    </x:row>
    <x:row r="9">
      <x:c r="A9" s="57" t="str">
        <x:v>Functionize Studio</x:v>
      </x:c>
      <x:c r="B9" s="57" t="str">
        <x:v>Autonomous QA agent</x:v>
      </x:c>
      <x:c r="C9" s="57" t="str">
        <x:v>Прямой</x:v>
      </x:c>
      <x:c r="D9" s="57" t="str">
        <x:v>Hosted commercial</x:v>
      </x:c>
      <x:c r="E9" s="57" t="str">
        <x:v>Plain language/chat</x:v>
      </x:c>
      <x:c r="F9" s="57" t="str">
        <x:v>Proprietary deterministic core</x:v>
      </x:c>
      <x:c r="G9" s="57" t="str">
        <x:v>Hosted knowledge-layer competitor</x:v>
      </x:c>
      <x:c r="H9" s="57" t="str">
        <x:v>https://www.functionize.com/</x:v>
      </x:c>
    </x:row>
    <x:row r="10">
      <x:c r="A10" s="57" t="str">
        <x:v>Applitools Autonomous</x:v>
      </x:c>
      <x:c r="B10" s="57" t="str">
        <x:v>AI no-code E2E</x:v>
      </x:c>
      <x:c r="C10" s="57" t="str">
        <x:v>Прямой</x:v>
      </x:c>
      <x:c r="D10" s="57" t="str">
        <x:v>Hosted commercial</x:v>
      </x:c>
      <x:c r="E10" s="57" t="str">
        <x:v>Plain English/record/crawl</x:v>
      </x:c>
      <x:c r="F10" s="57" t="str">
        <x:v>Deterministic language model + Visual AI</x:v>
      </x:c>
      <x:c r="G10" s="57" t="str">
        <x:v>Visual/deterministic UX benchmark</x:v>
      </x:c>
      <x:c r="H10" s="57" t="str">
        <x:v>https://applitools.com/platform/autonomous/</x:v>
      </x:c>
    </x:row>
    <x:row r="11">
      <x:c r="A11" s="57" t="str">
        <x:v>Momentic</x:v>
      </x:c>
      <x:c r="B11" s="57" t="str">
        <x:v>AI-native E2E</x:v>
      </x:c>
      <x:c r="C11" s="57" t="str">
        <x:v>Прямой</x:v>
      </x:c>
      <x:c r="D11" s="57" t="str">
        <x:v>Repo YAML + hosted/local</x:v>
      </x:c>
      <x:c r="E11" s="57" t="str">
        <x:v>Natural language</x:v>
      </x:c>
      <x:c r="F11" s="57" t="str">
        <x:v>Agent loop + cache/snapshots</x:v>
      </x:c>
      <x:c r="G11" s="57" t="str">
        <x:v>Local/repo UX benchmark</x:v>
      </x:c>
      <x:c r="H11" s="57" t="str">
        <x:v>https://momentic.ai/docs</x:v>
      </x:c>
    </x:row>
    <x:row r="12">
      <x:c r="A12" s="57" t="str">
        <x:v>QA Wolf</x:v>
      </x:c>
      <x:c r="B12" s="57" t="str">
        <x:v>Managed coverage</x:v>
      </x:c>
      <x:c r="C12" s="57" t="str">
        <x:v>Прямой</x:v>
      </x:c>
      <x:c r="D12" s="57" t="str">
        <x:v>Managed service</x:v>
      </x:c>
      <x:c r="E12" s="57" t="str">
        <x:v>AI + QA engineers</x:v>
      </x:c>
      <x:c r="F12" s="57" t="str">
        <x:v>Playwright/Appium code</x:v>
      </x:c>
      <x:c r="G12" s="57" t="str">
        <x:v>Отдельный managed-outcome track</x:v>
      </x:c>
      <x:c r="H12" s="57" t="str">
        <x:v>https://docs.qawolf.com/qawolf/Welcome-to-QA-Wolf</x:v>
      </x:c>
    </x:row>
    <x:row r="13">
      <x:c r="A13" s="57" t="str">
        <x:v>KaneAI</x:v>
      </x:c>
      <x:c r="B13" s="57" t="str">
        <x:v>Agentic test platform</x:v>
      </x:c>
      <x:c r="C13" s="57" t="str">
        <x:v>Прямой</x:v>
      </x:c>
      <x:c r="D13" s="57" t="str">
        <x:v>Hosted + CLI</x:v>
      </x:c>
      <x:c r="E13" s="57" t="str">
        <x:v>Natural language/PRD/record</x:v>
      </x:c>
      <x:c r="F13" s="57" t="str">
        <x:v>Cloud, export to common frameworks</x:v>
      </x:c>
      <x:c r="G13" s="57" t="str">
        <x:v>Breadth + cloud + code export</x:v>
      </x:c>
      <x:c r="H13" s="57" t="str">
        <x:v>https://www.testmuai.com/kane-ai/</x:v>
      </x:c>
    </x:row>
    <x:row r="14">
      <x:c r="A14" s="57" t="str">
        <x:v>BrowserStack Agentic Low Code</x:v>
      </x:c>
      <x:c r="B14" s="57" t="str">
        <x:v>Agentic low-code</x:v>
      </x:c>
      <x:c r="C14" s="57" t="str">
        <x:v>Прямой</x:v>
      </x:c>
      <x:c r="D14" s="57" t="str">
        <x:v>Hosted/device cloud</x:v>
      </x:c>
      <x:c r="E14" s="57" t="str">
        <x:v>Generate/refine/chat/record</x:v>
      </x:c>
      <x:c r="F14" s="57" t="str">
        <x:v>Recorded low-code on real devices</x:v>
      </x:c>
      <x:c r="G14" s="57" t="str">
        <x:v>Self-validation and scale benchmark</x:v>
      </x:c>
      <x:c r="H14" s="57" t="str">
        <x:v>https://www.browserstack.com/docs/low-code-automation/test-recording/browserstack-ai/agentic-testing</x:v>
      </x:c>
    </x:row>
    <x:row r="15">
      <x:c r="A15" s="57" t="str">
        <x:v>SmartBear Reflect</x:v>
      </x:c>
      <x:c r="B15" s="57" t="str">
        <x:v>AI no-code testing</x:v>
      </x:c>
      <x:c r="C15" s="57" t="str">
        <x:v>Прямой</x:v>
      </x:c>
      <x:c r="D15" s="57" t="str">
        <x:v>Hosted commercial</x:v>
      </x:c>
      <x:c r="E15" s="57" t="str">
        <x:v>Record + natural language</x:v>
      </x:c>
      <x:c r="F15" s="57" t="str">
        <x:v>Adaptive cloud runtime</x:v>
      </x:c>
      <x:c r="G15" s="57" t="str">
        <x:v>Manual-QA authoring benchmark</x:v>
      </x:c>
      <x:c r="H15" s="57" t="str">
        <x:v>https://support.smartbear.com/reflect/docs/en/recording</x:v>
      </x:c>
    </x:row>
    <x:row r="16">
      <x:c r="A16" s="57" t="str">
        <x:v>mabl</x:v>
      </x:c>
      <x:c r="B16" s="57" t="str">
        <x:v>AI low-code testing</x:v>
      </x:c>
      <x:c r="C16" s="57" t="str">
        <x:v>Прямой</x:v>
      </x:c>
      <x:c r="D16" s="57" t="str">
        <x:v>Hosted commercial</x:v>
      </x:c>
      <x:c r="E16" s="57" t="str">
        <x:v>Trainer + GenAI</x:v>
      </x:c>
      <x:c r="F16" s="57" t="str">
        <x:v>Cloud with semantic auto-heal</x:v>
      </x:c>
      <x:c r="G16" s="57" t="str">
        <x:v>Maintenance UX benchmark</x:v>
      </x:c>
      <x:c r="H16" s="57" t="str">
        <x:v>https://help.mabl.com/hc/en-us/articles/19078583792404-How-auto-heal-works</x:v>
      </x:c>
    </x:row>
    <x:row r="17">
      <x:c r="A17" s="57" t="str">
        <x:v>testRigor</x:v>
      </x:c>
      <x:c r="B17" s="57" t="str">
        <x:v>Natural-language testing</x:v>
      </x:c>
      <x:c r="C17" s="57" t="str">
        <x:v>Альтернатива</x:v>
      </x:c>
      <x:c r="D17" s="57" t="str">
        <x:v>Hosted commercial</x:v>
      </x:c>
      <x:c r="E17" s="57" t="str">
        <x:v>Plain English</x:v>
      </x:c>
      <x:c r="F17" s="57" t="str">
        <x:v>Cloud NLP runtime</x:v>
      </x:c>
      <x:c r="G17" s="57" t="str">
        <x:v>Breadth over code ownership</x:v>
      </x:c>
      <x:c r="H17" s="57" t="str">
        <x:v>https://testrigor.com/docs/language/</x:v>
      </x:c>
    </x:row>
    <x:row r="18">
      <x:c r="A18" s="57" t="str">
        <x:v>Katalon Studio</x:v>
      </x:c>
      <x:c r="B18" s="57" t="str">
        <x:v>Test automation IDE</x:v>
      </x:c>
      <x:c r="C18" s="57" t="str">
        <x:v>Альтернатива</x:v>
      </x:c>
      <x:c r="D18" s="57" t="str">
        <x:v>Desktop + platform</x:v>
      </x:c>
      <x:c r="E18" s="57" t="str">
        <x:v>Recorder/code/AI</x:v>
      </x:c>
      <x:c r="F18" s="57" t="str">
        <x:v>Web/mobile/API/desktop</x:v>
      </x:c>
      <x:c r="G18" s="57" t="str">
        <x:v>Enterprise IDE alternative</x:v>
      </x:c>
      <x:c r="H18" s="57" t="str">
        <x:v>https://www.katalon.com/katalon-studio</x:v>
      </x:c>
    </x:row>
    <x:row r="19">
      <x:c r="A19" s="57" t="str">
        <x:v>Autify NoCode</x:v>
      </x:c>
      <x:c r="B19" s="57" t="str">
        <x:v>AI no-code testing</x:v>
      </x:c>
      <x:c r="C19" s="57" t="str">
        <x:v>Альтернатива</x:v>
      </x:c>
      <x:c r="D19" s="57" t="str">
        <x:v>Hosted commercial</x:v>
      </x:c>
      <x:c r="E19" s="57" t="str">
        <x:v>Record/no-code/AI</x:v>
      </x:c>
      <x:c r="F19" s="57" t="str">
        <x:v>Cloud web/mobile</x:v>
      </x:c>
      <x:c r="G19" s="57" t="str">
        <x:v>No-code and visual benchmark</x:v>
      </x:c>
      <x:c r="H19" s="57" t="str">
        <x:v>https://nocode.autify.com/</x:v>
      </x:c>
    </x:row>
    <x:row r="20">
      <x:c r="A20" s="57" t="str">
        <x:v>ACCELQ</x:v>
      </x:c>
      <x:c r="B20" s="57" t="str">
        <x:v>Codeless automation</x:v>
      </x:c>
      <x:c r="C20" s="57" t="str">
        <x:v>Альтернатива</x:v>
      </x:c>
      <x:c r="D20" s="57" t="str">
        <x:v>SaaS/on-prem</x:v>
      </x:c>
      <x:c r="E20" s="57" t="str">
        <x:v>Natural codeless</x:v>
      </x:c>
      <x:c r="F20" s="57" t="str">
        <x:v>Web/API/mobile/enterprise apps</x:v>
      </x:c>
      <x:c r="G20" s="57" t="str">
        <x:v>Enterprise process automation</x:v>
      </x:c>
      <x:c r="H20" s="57" t="str">
        <x:v>https://www.accelq.com/codeless/</x:v>
      </x:c>
    </x:row>
    <x:row r="21">
      <x:c r="A21" s="57" t="str">
        <x:v>Tricentis Testim</x:v>
      </x:c>
      <x:c r="B21" s="57" t="str">
        <x:v>AI low-code</x:v>
      </x:c>
      <x:c r="C21" s="57" t="str">
        <x:v>Альтернатива</x:v>
      </x:c>
      <x:c r="D21" s="57" t="str">
        <x:v>SaaS/local grid</x:v>
      </x:c>
      <x:c r="E21" s="57" t="str">
        <x:v>Recorder + smart locators</x:v>
      </x:c>
      <x:c r="F21" s="57" t="str">
        <x:v>Web/mobile cloud/local</x:v>
      </x:c>
      <x:c r="G21" s="57" t="str">
        <x:v>Mature low-code/TestOps</x:v>
      </x:c>
      <x:c r="H21" s="57" t="str">
        <x:v>https://docs.tricentis.com/testim/content/overview/testim-overview/testim-automate.htm</x:v>
      </x:c>
    </x:row>
    <x:row r="22">
      <x:c r="A22" s="57" t="str">
        <x:v>Tricentis Tosca</x:v>
      </x:c>
      <x:c r="B22" s="57" t="str">
        <x:v>Model-based enterprise automation</x:v>
      </x:c>
      <x:c r="C22" s="57" t="str">
        <x:v>Альтернатива</x:v>
      </x:c>
      <x:c r="D22" s="57" t="str">
        <x:v>Enterprise commercial</x:v>
      </x:c>
      <x:c r="E22" s="57" t="str">
        <x:v>No-code/model-based/agentic</x:v>
      </x:c>
      <x:c r="F22" s="57" t="str">
        <x:v>Enterprise estate</x:v>
      </x:c>
      <x:c r="G22" s="57" t="str">
        <x:v>Broad enterprise substitute</x:v>
      </x:c>
      <x:c r="H22" s="57" t="str">
        <x:v>https://www.tricentis.com/products</x:v>
      </x:c>
    </x:row>
    <x:row r="23">
      <x:c r="A23" s="57" t="str">
        <x:v>TestComplete</x:v>
      </x:c>
      <x:c r="B23" s="57" t="str">
        <x:v>UI automation IDE</x:v>
      </x:c>
      <x:c r="C23" s="57" t="str">
        <x:v>Альтернатива</x:v>
      </x:c>
      <x:c r="D23" s="57" t="str">
        <x:v>Desktop/on-prem + cloud</x:v>
      </x:c>
      <x:c r="E23" s="57" t="str">
        <x:v>Record/code</x:v>
      </x:c>
      <x:c r="F23" s="57" t="str">
        <x:v>Desktop/web/mobile</x:v>
      </x:c>
      <x:c r="G23" s="57" t="str">
        <x:v>Regulated/on-prem substitute</x:v>
      </x:c>
      <x:c r="H23" s="57" t="str">
        <x:v>https://smartbear.com/product/testcomplete/</x:v>
      </x:c>
    </x:row>
    <x:row r="24">
      <x:c r="A24" s="57" t="str">
        <x:v>Playwright Test</x:v>
      </x:c>
      <x:c r="B24" s="57" t="str">
        <x:v>Code-first runner</x:v>
      </x:c>
      <x:c r="C24" s="57" t="str">
        <x:v>Baseline</x:v>
      </x:c>
      <x:c r="D24" s="57" t="str">
        <x:v>Open-source</x:v>
      </x:c>
      <x:c r="E24" s="57" t="str">
        <x:v>TS/JS code/codegen</x:v>
      </x:c>
      <x:c r="F24" s="57" t="str">
        <x:v>Chromium/Firefox/WebKit</x:v>
      </x:c>
      <x:c r="G24" s="57" t="str">
        <x:v>Measured execution baseline</x:v>
      </x:c>
      <x:c r="H24" s="57" t="str">
        <x:v>https://playwright.dev/</x:v>
      </x:c>
    </x:row>
    <x:row r="25">
      <x:c r="A25" s="57" t="str">
        <x:v>Cypress</x:v>
      </x:c>
      <x:c r="B25" s="57" t="str">
        <x:v>Code-first runner</x:v>
      </x:c>
      <x:c r="C25" s="57" t="str">
        <x:v>Baseline</x:v>
      </x:c>
      <x:c r="D25" s="57" t="str">
        <x:v>Open core + cloud</x:v>
      </x:c>
      <x:c r="E25" s="57" t="str">
        <x:v>JS/TS + Studio</x:v>
      </x:c>
      <x:c r="F25" s="57" t="str">
        <x:v>Browser runner + Cloud</x:v>
      </x:c>
      <x:c r="G25" s="57" t="str">
        <x:v>Developer UX baseline</x:v>
      </x:c>
      <x:c r="H25" s="57" t="str">
        <x:v>https://docs.cypress.io/app/guides/cypress-studio</x:v>
      </x:c>
    </x:row>
    <x:row r="26">
      <x:c r="A26" s="57" t="str">
        <x:v>WebdriverIO</x:v>
      </x:c>
      <x:c r="B26" s="57" t="str">
        <x:v>Code-first runner</x:v>
      </x:c>
      <x:c r="C26" s="57" t="str">
        <x:v>Baseline</x:v>
      </x:c>
      <x:c r="D26" s="57" t="str">
        <x:v>Open-source</x:v>
      </x:c>
      <x:c r="E26" s="57" t="str">
        <x:v>JS/TS</x:v>
      </x:c>
      <x:c r="F26" s="57" t="str">
        <x:v>WebDriver/BiDi + services</x:v>
      </x:c>
      <x:c r="G26" s="57" t="str">
        <x:v>Ecosystem/cross-platform baseline</x:v>
      </x:c>
      <x:c r="H26" s="57" t="str">
        <x:v>https://webdriver.io/docs/testrunner/</x:v>
      </x:c>
    </x:row>
    <x:row r="27">
      <x:c r="A27" s="57" t="str">
        <x:v>Selenium WebDriver</x:v>
      </x:c>
      <x:c r="B27" s="57" t="str">
        <x:v>Browser automation API</x:v>
      </x:c>
      <x:c r="C27" s="57" t="str">
        <x:v>Baseline</x:v>
      </x:c>
      <x:c r="D27" s="57" t="str">
        <x:v>Open-source</x:v>
      </x:c>
      <x:c r="E27" s="57" t="str">
        <x:v>Multi-language code</x:v>
      </x:c>
      <x:c r="F27" s="57" t="str">
        <x:v>W3C WebDriver/BiDi</x:v>
      </x:c>
      <x:c r="G27" s="57" t="str">
        <x:v>Compatibility baseline</x:v>
      </x:c>
      <x:c r="H27" s="57" t="str">
        <x:v>https://www.selenium.dev/documentation/webdriver/</x:v>
      </x:c>
    </x:row>
    <x:row r="28">
      <x:c r="A28" s="57" t="str">
        <x:v>SeleniumBase</x:v>
      </x:c>
      <x:c r="B28" s="57" t="str">
        <x:v>Pytest browser framework</x:v>
      </x:c>
      <x:c r="C28" s="57" t="str">
        <x:v>Baseline</x:v>
      </x:c>
      <x:c r="D28" s="57" t="str">
        <x:v>Open-source</x:v>
      </x:c>
      <x:c r="E28" s="57" t="str">
        <x:v>Python + recorder</x:v>
      </x:c>
      <x:c r="F28" s="57" t="str">
        <x:v>Selenium/pytest</x:v>
      </x:c>
      <x:c r="G28" s="57" t="str">
        <x:v>Closest classic Python neighbor</x:v>
      </x:c>
      <x:c r="H28" s="57" t="str">
        <x:v>https://seleniumbase.io/help_docs/how_it_works/</x:v>
      </x:c>
    </x:row>
    <x:row r="29">
      <x:c r="A29" s="57" t="str">
        <x:v>Robot Framework Browser</x:v>
      </x:c>
      <x:c r="B29" s="57" t="str">
        <x:v>Keyword-driven runner</x:v>
      </x:c>
      <x:c r="C29" s="57" t="str">
        <x:v>Baseline</x:v>
      </x:c>
      <x:c r="D29" s="57" t="str">
        <x:v>Open-source</x:v>
      </x:c>
      <x:c r="E29" s="57" t="str">
        <x:v>Robot keywords</x:v>
      </x:c>
      <x:c r="F29" s="57" t="str">
        <x:v>Playwright browsers</x:v>
      </x:c>
      <x:c r="G29" s="57" t="str">
        <x:v>Non-developer authoring baseline</x:v>
      </x:c>
      <x:c r="H29" s="57" t="str">
        <x:v>https://robotframework-browser.org/docs/start/getting-started/</x:v>
      </x:c>
    </x:row>
    <x:row r="30">
      <x:c r="A30" s="57" t="str">
        <x:v>Puppeteer</x:v>
      </x:c>
      <x:c r="B30" s="57" t="str">
        <x:v>Browser automation library</x:v>
      </x:c>
      <x:c r="C30" s="57" t="str">
        <x:v>Baseline</x:v>
      </x:c>
      <x:c r="D30" s="57" t="str">
        <x:v>Open-source</x:v>
      </x:c>
      <x:c r="E30" s="57" t="str">
        <x:v>JavaScript code</x:v>
      </x:c>
      <x:c r="F30" s="57" t="str">
        <x:v>CDP/WebDriver BiDi</x:v>
      </x:c>
      <x:c r="G30" s="57" t="str">
        <x:v>Library-level baseline</x:v>
      </x:c>
      <x:c r="H30" s="57" t="str">
        <x:v>https://developer.chrome.com/docs/puppeteer/</x:v>
      </x:c>
    </x:row>
    <x:row r="31">
      <x:c r="A31" s="57" t="str">
        <x:v>TestCafe</x:v>
      </x:c>
      <x:c r="B31" s="57" t="str">
        <x:v>Code-first runner</x:v>
      </x:c>
      <x:c r="C31" s="57" t="str">
        <x:v>Baseline</x:v>
      </x:c>
      <x:c r="D31" s="57" t="str">
        <x:v>Open-source</x:v>
      </x:c>
      <x:c r="E31" s="57" t="str">
        <x:v>JS/TS</x:v>
      </x:c>
      <x:c r="F31" s="57" t="str">
        <x:v>Proxy/browser automation</x:v>
      </x:c>
      <x:c r="G31" s="57" t="str">
        <x:v>Legacy runner baseline</x:v>
      </x:c>
      <x:c r="H31" s="57" t="str">
        <x:v>https://testcafe.io/</x:v>
      </x:c>
    </x:row>
    <x:row r="32">
      <x:c r="A32" s="57" t="str">
        <x:v>Nightwatch</x:v>
      </x:c>
      <x:c r="B32" s="57" t="str">
        <x:v>Code-first runner</x:v>
      </x:c>
      <x:c r="C32" s="57" t="str">
        <x:v>Baseline</x:v>
      </x:c>
      <x:c r="D32" s="57" t="str">
        <x:v>Open-source</x:v>
      </x:c>
      <x:c r="E32" s="57" t="str">
        <x:v>JS/TS</x:v>
      </x:c>
      <x:c r="F32" s="57" t="str">
        <x:v>WebDriver</x:v>
      </x:c>
      <x:c r="G32" s="57" t="str">
        <x:v>Runner alternative</x:v>
      </x:c>
      <x:c r="H32" s="57" t="str">
        <x:v>https://nightwatchjs.org/</x:v>
      </x:c>
    </x:row>
    <x:row r="33">
      <x:c r="A33" s="57" t="str">
        <x:v>Appium</x:v>
      </x:c>
      <x:c r="B33" s="57" t="str">
        <x:v>Mobile automation</x:v>
      </x:c>
      <x:c r="C33" s="57" t="str">
        <x:v>Baseline</x:v>
      </x:c>
      <x:c r="D33" s="57" t="str">
        <x:v>Open-source</x:v>
      </x:c>
      <x:c r="E33" s="57" t="str">
        <x:v>Multi-language code</x:v>
      </x:c>
      <x:c r="F33" s="57" t="str">
        <x:v>Native/hybrid mobile</x:v>
      </x:c>
      <x:c r="G33" s="57" t="str">
        <x:v>Mobile execution baseline</x:v>
      </x:c>
      <x:c r="H33" s="57" t="str">
        <x:v>https://appium.io/docs/en/latest/</x:v>
      </x:c>
    </x:row>
    <x:row r="34">
      <x:c r="A34" s="57" t="str">
        <x:v>Chrome DevTools Recorder</x:v>
      </x:c>
      <x:c r="B34" s="57" t="str">
        <x:v>Recorder</x:v>
      </x:c>
      <x:c r="C34" s="57" t="str">
        <x:v>Смежный</x:v>
      </x:c>
      <x:c r="D34" s="57" t="str">
        <x:v>Browser built-in</x:v>
      </x:c>
      <x:c r="E34" s="57" t="str">
        <x:v>Record/edit/export</x:v>
      </x:c>
      <x:c r="F34" s="57" t="str">
        <x:v>Replay/Puppeteer export</x:v>
      </x:c>
      <x:c r="G34" s="57" t="str">
        <x:v>Authoring component</x:v>
      </x:c>
      <x:c r="H34" s="57" t="str">
        <x:v>https://developer.chrome.com/docs/devtools/recorder/overview</x:v>
      </x:c>
    </x:row>
    <x:row r="35">
      <x:c r="A35" s="57" t="str">
        <x:v>Selenium IDE</x:v>
      </x:c>
      <x:c r="B35" s="57" t="str">
        <x:v>Recorder</x:v>
      </x:c>
      <x:c r="C35" s="57" t="str">
        <x:v>Смежный</x:v>
      </x:c>
      <x:c r="D35" s="57" t="str">
        <x:v>Open-source extension</x:v>
      </x:c>
      <x:c r="E35" s="57" t="str">
        <x:v>Record/playback</x:v>
      </x:c>
      <x:c r="F35" s="57" t="str">
        <x:v>Selenium commands</x:v>
      </x:c>
      <x:c r="G35" s="57" t="str">
        <x:v>Entry-level authoring component</x:v>
      </x:c>
      <x:c r="H35" s="57" t="str">
        <x:v>https://www.selenium.dev/documentation/ide/</x:v>
      </x:c>
    </x:row>
    <x:row r="36">
      <x:c r="A36" s="57" t="str">
        <x:v>Stagehand</x:v>
      </x:c>
      <x:c r="B36" s="57" t="str">
        <x:v>Agent browser SDK</x:v>
      </x:c>
      <x:c r="C36" s="57" t="str">
        <x:v>Смежный</x:v>
      </x:c>
      <x:c r="D36" s="57" t="str">
        <x:v>Open-source + cloud options</x:v>
      </x:c>
      <x:c r="E36" s="57" t="str">
        <x:v>act/observe/extract</x:v>
      </x:c>
      <x:c r="F36" s="57" t="str">
        <x:v>Model-driven + caching</x:v>
      </x:c>
      <x:c r="G36" s="57" t="str">
        <x:v>Potential discovery backend</x:v>
      </x:c>
      <x:c r="H36" s="57" t="str">
        <x:v>https://docs.stagehand.dev/</x:v>
      </x:c>
    </x:row>
    <x:row r="37">
      <x:c r="A37" s="57" t="str">
        <x:v>Midscene.js</x:v>
      </x:c>
      <x:c r="B37" s="57" t="str">
        <x:v>Vision UI automation</x:v>
      </x:c>
      <x:c r="C37" s="57" t="str">
        <x:v>Смежный</x:v>
      </x:c>
      <x:c r="D37" s="57" t="str">
        <x:v>Open-source</x:v>
      </x:c>
      <x:c r="E37" s="57" t="str">
        <x:v>Natural language/vision</x:v>
      </x:c>
      <x:c r="F37" s="57" t="str">
        <x:v>Model-driven Playwright/Puppeteer</x:v>
      </x:c>
      <x:c r="G37" s="57" t="str">
        <x:v>Potential authoring backend</x:v>
      </x:c>
      <x:c r="H37" s="57" t="str">
        <x:v>https://midscenejs.com/</x:v>
      </x:c>
    </x:row>
    <x:row r="38">
      <x:c r="A38" s="57" t="str">
        <x:v>Playwright MCP/CLI</x:v>
      </x:c>
      <x:c r="B38" s="57" t="str">
        <x:v>Agent browser tools</x:v>
      </x:c>
      <x:c r="C38" s="57" t="str">
        <x:v>Смежный</x:v>
      </x:c>
      <x:c r="D38" s="57" t="str">
        <x:v>Open-source</x:v>
      </x:c>
      <x:c r="E38" s="57" t="str">
        <x:v>Accessibility snapshots/CLI</x:v>
      </x:c>
      <x:c r="F38" s="57" t="str">
        <x:v>Interactive agent control</x:v>
      </x:c>
      <x:c r="G38" s="57" t="str">
        <x:v>Discovery tool, not full product</x:v>
      </x:c>
      <x:c r="H38" s="57" t="str">
        <x:v>https://playwright.dev/</x:v>
      </x:c>
    </x:row>
    <x:row r="39">
      <x:c r="A39" s="57" t="str">
        <x:v>BrowserStack Automate</x:v>
      </x:c>
      <x:c r="B39" s="57" t="str">
        <x:v>Browser/device cloud</x:v>
      </x:c>
      <x:c r="C39" s="57" t="str">
        <x:v>Смежный</x:v>
      </x:c>
      <x:c r="D39" s="57" t="str">
        <x:v>Hosted</x:v>
      </x:c>
      <x:c r="E39" s="57" t="str">
        <x:v>Framework-owned tests</x:v>
      </x:c>
      <x:c r="F39" s="57" t="str">
        <x:v>Remote browsers/devices</x:v>
      </x:c>
      <x:c r="G39" s="57" t="str">
        <x:v>Execution infrastructure</x:v>
      </x:c>
      <x:c r="H39" s="57" t="str">
        <x:v>https://www.browserstack.com/docs/automate</x:v>
      </x:c>
    </x:row>
    <x:row r="40">
      <x:c r="A40" s="57" t="str">
        <x:v>Sauce Labs</x:v>
      </x:c>
      <x:c r="B40" s="57" t="str">
        <x:v>Test cloud</x:v>
      </x:c>
      <x:c r="C40" s="57" t="str">
        <x:v>Смежный</x:v>
      </x:c>
      <x:c r="D40" s="57" t="str">
        <x:v>Hosted</x:v>
      </x:c>
      <x:c r="E40" s="57" t="str">
        <x:v>Framework-owned tests</x:v>
      </x:c>
      <x:c r="F40" s="57" t="str">
        <x:v>Remote browsers/devices</x:v>
      </x:c>
      <x:c r="G40" s="57" t="str">
        <x:v>Execution infrastructure</x:v>
      </x:c>
      <x:c r="H40" s="57" t="str">
        <x:v>https://docs.saucelabs.com/</x:v>
      </x:c>
    </x:row>
    <x:row r="41">
      <x:c r="A41" s="57" t="str">
        <x:v>TestMu HyperExecute</x:v>
      </x:c>
      <x:c r="B41" s="57" t="str">
        <x:v>Test orchestration cloud</x:v>
      </x:c>
      <x:c r="C41" s="57" t="str">
        <x:v>Смежный</x:v>
      </x:c>
      <x:c r="D41" s="57" t="str">
        <x:v>Hosted</x:v>
      </x:c>
      <x:c r="E41" s="57" t="str">
        <x:v>Framework-owned tests</x:v>
      </x:c>
      <x:c r="F41" s="57" t="str">
        <x:v>Distributed execution</x:v>
      </x:c>
      <x:c r="G41" s="57" t="str">
        <x:v>Scale infrastructure</x:v>
      </x:c>
      <x:c r="H41" s="57" t="str">
        <x:v>https://www.testmuai.com/hyperexecute/</x:v>
      </x:c>
    </x:row>
    <x:row r="42">
      <x:c r="A42" s="57" t="str">
        <x:v>Cypress Cloud</x:v>
      </x:c>
      <x:c r="B42" s="57" t="str">
        <x:v>Runner analytics</x:v>
      </x:c>
      <x:c r="C42" s="57" t="str">
        <x:v>Смежный</x:v>
      </x:c>
      <x:c r="D42" s="57" t="str">
        <x:v>Hosted</x:v>
      </x:c>
      <x:c r="E42" s="57" t="str">
        <x:v>Cypress tests</x:v>
      </x:c>
      <x:c r="F42" s="57" t="str">
        <x:v>Replay/flake/parallel analytics</x:v>
      </x:c>
      <x:c r="G42" s="57" t="str">
        <x:v>Evidence and orchestration</x:v>
      </x:c>
      <x:c r="H42" s="57" t="str">
        <x:v>https://docs.cypress.io/cloud/features/smart-orchestration/parallelization</x:v>
      </x:c>
    </x:row>
    <x:row r="43">
      <x:c r="A43" s="57" t="str">
        <x:v>Allure Report</x:v>
      </x:c>
      <x:c r="B43" s="57" t="str">
        <x:v>Reporting</x:v>
      </x:c>
      <x:c r="C43" s="57" t="str">
        <x:v>Смежный</x:v>
      </x:c>
      <x:c r="D43" s="57" t="str">
        <x:v>Open-source</x:v>
      </x:c>
      <x:c r="E43" s="57" t="str">
        <x:v>Framework adapters</x:v>
      </x:c>
      <x:c r="F43" s="57" t="str">
        <x:v>Static/interactive report</x:v>
      </x:c>
      <x:c r="G43" s="57" t="str">
        <x:v>Testence export sink</x:v>
      </x:c>
      <x:c r="H43" s="57" t="str">
        <x:v>https://allurereport.org/</x:v>
      </x:c>
    </x:row>
    <x:row r="44">
      <x:c r="A44" s="57" t="str">
        <x:v>ReportPortal</x:v>
      </x:c>
      <x:c r="B44" s="57" t="str">
        <x:v>AI test reporting</x:v>
      </x:c>
      <x:c r="C44" s="57" t="str">
        <x:v>Смежный</x:v>
      </x:c>
      <x:c r="D44" s="57" t="str">
        <x:v>Open-source/commercial</x:v>
      </x:c>
      <x:c r="E44" s="57" t="str">
        <x:v>Framework adapters</x:v>
      </x:c>
      <x:c r="F44" s="57" t="str">
        <x:v>Failure clustering/analytics</x:v>
      </x:c>
      <x:c r="G44" s="57" t="str">
        <x:v>Triage benchmark</x:v>
      </x:c>
      <x:c r="H44" s="57" t="str">
        <x:v>https://reportportal.io/</x:v>
      </x:c>
    </x:row>
    <x:row r="45">
      <x:c r="A45" s="57" t="str">
        <x:v>Currents</x:v>
      </x:c>
      <x:c r="B45" s="57" t="str">
        <x:v>Test orchestration</x:v>
      </x:c>
      <x:c r="C45" s="57" t="str">
        <x:v>Смежный</x:v>
      </x:c>
      <x:c r="D45" s="57" t="str">
        <x:v>Hosted</x:v>
      </x:c>
      <x:c r="E45" s="57" t="str">
        <x:v>Cypress/Playwright tests</x:v>
      </x:c>
      <x:c r="F45" s="57" t="str">
        <x:v>Parallel/flake analytics</x:v>
      </x:c>
      <x:c r="G45" s="57" t="str">
        <x:v>CI analytics competitor</x:v>
      </x:c>
      <x:c r="H45" s="57" t="str">
        <x:v>https://currents.dev/</x:v>
      </x:c>
    </x:row>
    <x:row r="46">
      <x:c r="A46" s="57" t="str">
        <x:v>Percy</x:v>
      </x:c>
      <x:c r="B46" s="57" t="str">
        <x:v>Visual testing</x:v>
      </x:c>
      <x:c r="C46" s="57" t="str">
        <x:v>Смежный</x:v>
      </x:c>
      <x:c r="D46" s="57" t="str">
        <x:v>Hosted</x:v>
      </x:c>
      <x:c r="E46" s="57" t="str">
        <x:v>SDK integration</x:v>
      </x:c>
      <x:c r="F46" s="57" t="str">
        <x:v>Visual diff cloud</x:v>
      </x:c>
      <x:c r="G46" s="57" t="str">
        <x:v>Visual gap benchmark</x:v>
      </x:c>
      <x:c r="H46" s="57" t="str">
        <x:v>https://percy.io/</x:v>
      </x:c>
    </x:row>
    <x:row r="47">
      <x:c r="A47" s="57" t="str">
        <x:v>Applitools Eyes</x:v>
      </x:c>
      <x:c r="B47" s="57" t="str">
        <x:v>Visual AI</x:v>
      </x:c>
      <x:c r="C47" s="57" t="str">
        <x:v>Смежный</x:v>
      </x:c>
      <x:c r="D47" s="57" t="str">
        <x:v>Hosted + SDK</x:v>
      </x:c>
      <x:c r="E47" s="57" t="str">
        <x:v>Framework integration</x:v>
      </x:c>
      <x:c r="F47" s="57" t="str">
        <x:v>Visual AI/grid</x:v>
      </x:c>
      <x:c r="G47" s="57" t="str">
        <x:v>Visual evidence component</x:v>
      </x:c>
      <x:c r="H47" s="57" t="str">
        <x:v>https://applitools.com/platform/eyes/</x:v>
      </x:c>
    </x:row>
    <x:row r="48">
      <x:c r="A48" s="57" t="str">
        <x:v>Checkly</x:v>
      </x:c>
      <x:c r="B48" s="57" t="str">
        <x:v>Synthetic monitoring</x:v>
      </x:c>
      <x:c r="C48" s="57" t="str">
        <x:v>Смежный</x:v>
      </x:c>
      <x:c r="D48" s="57" t="str">
        <x:v>Hosted + repo</x:v>
      </x:c>
      <x:c r="E48" s="57" t="str">
        <x:v>Playwright code</x:v>
      </x:c>
      <x:c r="F48" s="57" t="str">
        <x:v>Scheduled global checks</x:v>
      </x:c>
      <x:c r="G48" s="57" t="str">
        <x:v>Production verification adjacent</x:v>
      </x:c>
      <x:c r="H48" s="57" t="str">
        <x:v>https://www.checklyhq.com/docs/</x:v>
      </x:c>
    </x:row>
    <x:row r="49">
      <x:c r="A49" s="58" t="str">
        <x:v>Datadog Synthetic Monitoring</x:v>
      </x:c>
      <x:c r="B49" s="58" t="str">
        <x:v>Synthetic monitoring</x:v>
      </x:c>
      <x:c r="C49" s="58" t="str">
        <x:v>Смежный</x:v>
      </x:c>
      <x:c r="D49" s="58" t="str">
        <x:v>Hosted</x:v>
      </x:c>
      <x:c r="E49" s="58" t="str">
        <x:v>Recorder/API</x:v>
      </x:c>
      <x:c r="F49" s="58" t="str">
        <x:v>Global browser/API checks</x:v>
      </x:c>
      <x:c r="G49" s="58" t="str">
        <x:v>Production monitoring adjacent</x:v>
      </x:c>
      <x:c r="H49" s="58" t="str">
        <x:v>https://docs.datadoghq.com/synthetics/</x:v>
      </x:c>
    </x:row>
    <x:row r="50">
      <x:c r="A50" s="140"/>
      <x:c r="B50" s="140"/>
      <x:c r="C50" s="140"/>
      <x:c r="D50" s="140"/>
      <x:c r="E50" s="140"/>
      <x:c r="F50" s="140"/>
      <x:c r="G50" s="140"/>
      <x:c r="H50" s="140"/>
    </x:row>
    <x:row r="51">
      <x:c r="A51" s="165" t="n">
        <x:f>COUNTA(A5:A49)</x:f>
        <x:v>45</x:v>
      </x:c>
      <x:c r="B51" s="165" t="str">
        <x:v>инструментов в текущем срезе; фильтруйте по колонке «Когорта»</x:v>
      </x:c>
      <x:c r="C51" s="165"/>
      <x:c r="D51" s="165"/>
      <x:c r="E51" s="165"/>
      <x:c r="F51" s="165"/>
      <x:c r="G51" s="165"/>
      <x:c r="H51" s="165"/>
    </x:row>
  </x:sheetData>
  <x:mergeCells>
    <x:mergeCell ref="A1:H1"/>
    <x:mergeCell ref="A2:H2"/>
    <x:mergeCell ref="B51:H51"/>
  </x:mergeCells>
  <x:pageMargins left="0.7" right="0.7" top="0.75" bottom="0.75" header="0.3" footer="0.3"/>
  <x:tableParts count="1">
    <x:tablePart xmlns:r="http://schemas.openxmlformats.org/officeDocument/2006/relationships" r:id="R9e0de1d4f5264b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26" hidden="0" customWidth="1"/>
    <x:col min="23" max="23" width="38" hidden="0" customWidth="1"/>
  </x:cols>
  <x:sheetData>
    <x:row r="1" ht="34" customHeight="1">
      <x:c r="A1" s="138" t="str">
        <x:v>Матрица прямых конкурентов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</x:row>
    <x:row r="2" ht="30" customHeight="1">
      <x:c r="A2" s="139" t="str">
        <x:v>Редактируйте веса в строке 3. Оценки: 0 = нет/не найдено; 1 = частично или vendor claim; 2 = first-class. Это документированный срез, не замена hands-on.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  <x:c r="P2" s="139"/>
      <x:c r="Q2" s="139"/>
      <x:c r="R2" s="139"/>
      <x:c r="S2" s="139"/>
      <x:c r="T2" s="139"/>
      <x:c r="U2" s="139"/>
      <x:c r="V2" s="139"/>
      <x:c r="W2" s="139"/>
    </x:row>
    <x:row r="3">
      <x:c r="A3" s="166" t="str">
        <x:v>Вес критерия →</x:v>
      </x:c>
      <x:c r="B3" s="166"/>
      <x:c r="C3" s="166"/>
      <x:c r="D3" s="167" t="n">
        <x:v>6</x:v>
      </x:c>
      <x:c r="E3" s="167" t="n">
        <x:v>6</x:v>
      </x:c>
      <x:c r="F3" s="167" t="n">
        <x:v>8</x:v>
      </x:c>
      <x:c r="G3" s="167" t="n">
        <x:v>7</x:v>
      </x:c>
      <x:c r="H3" s="167" t="n">
        <x:v>10</x:v>
      </x:c>
      <x:c r="I3" s="167" t="n">
        <x:v>8</x:v>
      </x:c>
      <x:c r="J3" s="167" t="n">
        <x:v>8</x:v>
      </x:c>
      <x:c r="K3" s="167" t="n">
        <x:v>8</x:v>
      </x:c>
      <x:c r="L3" s="167" t="n">
        <x:v>8</x:v>
      </x:c>
      <x:c r="M3" s="167" t="n">
        <x:v>10</x:v>
      </x:c>
      <x:c r="N3" s="167" t="n">
        <x:v>7</x:v>
      </x:c>
      <x:c r="O3" s="167" t="n">
        <x:v>4</x:v>
      </x:c>
      <x:c r="P3" s="167" t="n">
        <x:v>3</x:v>
      </x:c>
      <x:c r="Q3" s="167" t="n">
        <x:v>3</x:v>
      </x:c>
      <x:c r="R3" s="167" t="n">
        <x:v>3</x:v>
      </x:c>
      <x:c r="S3" s="167" t="n">
        <x:v>4</x:v>
      </x:c>
      <x:c r="T3" s="167" t="n">
        <x:v>7</x:v>
      </x:c>
      <x:c r="U3" s="140"/>
      <x:c r="V3" s="140"/>
      <x:c r="W3" s="140"/>
    </x:row>
    <x:row r="4" ht="30" customHeight="1">
      <x:c r="A4" s="153" t="str">
        <x:v>Продукт</x:v>
      </x:c>
      <x:c r="B4" s="154" t="str">
        <x:v>Класс</x:v>
      </x:c>
      <x:c r="C4" s="154" t="str">
        <x:v>Evidence level</x:v>
      </x:c>
      <x:c r="D4" s="154" t="str">
        <x:v>Requirement/PR input</x:v>
      </x:c>
      <x:c r="E4" s="154" t="str">
        <x:v>План-артефакт</x:v>
      </x:c>
      <x:c r="F4" s="154" t="str">
        <x:v>Agent authoring</x:v>
      </x:c>
      <x:c r="G4" s="154" t="str">
        <x:v>Local run</x:v>
      </x:c>
      <x:c r="H4" s="154" t="str">
        <x:v>Deterministic replay</x:v>
      </x:c>
      <x:c r="I4" s="154" t="str">
        <x:v>Repo-owned</x:v>
      </x:c>
      <x:c r="J4" s="154" t="str">
        <x:v>Evidence</x:v>
      </x:c>
      <x:c r="K4" s="154" t="str">
        <x:v>Traceability</x:v>
      </x:c>
      <x:c r="L4" s="154" t="str">
        <x:v>Reviewable heal</x:v>
      </x:c>
      <x:c r="M4" s="154" t="str">
        <x:v>Public truth corpus</x:v>
      </x:c>
      <x:c r="N4" s="154" t="str">
        <x:v>API oracle</x:v>
      </x:c>
      <x:c r="O4" s="154" t="str">
        <x:v>Cross-browser</x:v>
      </x:c>
      <x:c r="P4" s="154" t="str">
        <x:v>Mobile</x:v>
      </x:c>
      <x:c r="Q4" s="154" t="str">
        <x:v>Visual</x:v>
      </x:c>
      <x:c r="R4" s="154" t="str">
        <x:v>Accessibility</x:v>
      </x:c>
      <x:c r="S4" s="154" t="str">
        <x:v>Parallel/cloud</x:v>
      </x:c>
      <x:c r="T4" s="154" t="str">
        <x:v>Shipped E2E flow</x:v>
      </x:c>
      <x:c r="U4" s="154" t="str">
        <x:v>Weighted score</x:v>
      </x:c>
      <x:c r="V4" s="154" t="str">
        <x:v>Основание</x:v>
      </x:c>
      <x:c r="W4" s="155" t="str">
        <x:v>Источник</x:v>
      </x:c>
    </x:row>
    <x:row r="5">
      <x:c r="A5" s="56" t="str">
        <x:v>Testence</x:v>
      </x:c>
      <x:c r="B5" s="56" t="str">
        <x:v>Open-source agent-native verification</x:v>
      </x:c>
      <x:c r="C5" s="56" t="str">
        <x:v>3 — локально</x:v>
      </x:c>
      <x:c r="D5" s="103" t="n">
        <x:v>0</x:v>
      </x:c>
      <x:c r="E5" s="103" t="n">
        <x:v>0</x:v>
      </x:c>
      <x:c r="F5" s="103" t="n">
        <x:v>0</x:v>
      </x:c>
      <x:c r="G5" s="103" t="n">
        <x:v>2</x:v>
      </x:c>
      <x:c r="H5" s="103" t="n">
        <x:v>2</x:v>
      </x:c>
      <x:c r="I5" s="103" t="n">
        <x:v>2</x:v>
      </x:c>
      <x:c r="J5" s="103" t="n">
        <x:v>2</x:v>
      </x:c>
      <x:c r="K5" s="103" t="n">
        <x:v>1</x:v>
      </x:c>
      <x:c r="L5" s="103" t="n">
        <x:v>2</x:v>
      </x:c>
      <x:c r="M5" s="103" t="n">
        <x:v>2</x:v>
      </x:c>
      <x:c r="N5" s="103" t="n">
        <x:v>2</x:v>
      </x:c>
      <x:c r="O5" s="103" t="n">
        <x:v>0</x:v>
      </x:c>
      <x:c r="P5" s="103" t="n">
        <x:v>0</x:v>
      </x:c>
      <x:c r="Q5" s="103" t="n">
        <x:v>0</x:v>
      </x:c>
      <x:c r="R5" s="103" t="n">
        <x:v>0</x:v>
      </x:c>
      <x:c r="S5" s="103" t="n">
        <x:v>1</x:v>
      </x:c>
      <x:c r="T5" s="103" t="n">
        <x:v>0</x:v>
      </x:c>
      <x:c r="U5" s="67" t="n">
        <x:f>SUMPRODUCT(D5:T5,$D$3:$T$3)/(2*SUM($D$3:$T$3))</x:f>
        <x:v>0.5818181818181818</x:v>
      </x:c>
      <x:c r="V5" s="56" t="str">
        <x:v>Локальный код + docs</x:v>
      </x:c>
      <x:c r="W5" s="56" t="str">
        <x:v>D:/Projects/testence</x:v>
      </x:c>
    </x:row>
    <x:row r="6">
      <x:c r="A6" s="57" t="str">
        <x:v>Playwright Test Agents</x:v>
      </x:c>
      <x:c r="B6" s="57" t="str">
        <x:v>Open-source agent workflow + runner</x:v>
      </x:c>
      <x:c r="C6" s="57" t="str">
        <x:v>3 — replay локально</x:v>
      </x:c>
      <x:c r="D6" s="104" t="n">
        <x:v>2</x:v>
      </x:c>
      <x:c r="E6" s="104" t="n">
        <x:v>2</x:v>
      </x:c>
      <x:c r="F6" s="104" t="n">
        <x:v>2</x:v>
      </x:c>
      <x:c r="G6" s="104" t="n">
        <x:v>2</x:v>
      </x:c>
      <x:c r="H6" s="104" t="n">
        <x:v>2</x:v>
      </x:c>
      <x:c r="I6" s="104" t="n">
        <x:v>2</x:v>
      </x:c>
      <x:c r="J6" s="104" t="n">
        <x:v>2</x:v>
      </x:c>
      <x:c r="K6" s="104" t="n">
        <x:v>1</x:v>
      </x:c>
      <x:c r="L6" s="104" t="n">
        <x:v>1</x:v>
      </x:c>
      <x:c r="M6" s="104" t="n">
        <x:v>0</x:v>
      </x:c>
      <x:c r="N6" s="104" t="n">
        <x:v>1</x:v>
      </x:c>
      <x:c r="O6" s="104" t="n">
        <x:v>2</x:v>
      </x:c>
      <x:c r="P6" s="104" t="n">
        <x:v>1</x:v>
      </x:c>
      <x:c r="Q6" s="104" t="n">
        <x:v>2</x:v>
      </x:c>
      <x:c r="R6" s="104" t="n">
        <x:v>1</x:v>
      </x:c>
      <x:c r="S6" s="104" t="n">
        <x:v>2</x:v>
      </x:c>
      <x:c r="T6" s="104" t="n">
        <x:v>2</x:v>
      </x:c>
      <x:c r="U6" s="68" t="n">
        <x:f>SUMPRODUCT(D6:T6,$D$3:$T$3)/(2*SUM($D$3:$T$3))</x:f>
        <x:v>0.7772727272727272</x:v>
      </x:c>
      <x:c r="V6" s="57" t="str">
        <x:v>Официальная документация</x:v>
      </x:c>
      <x:c r="W6" s="57" t="str">
        <x:v>https://playwright.dev/docs/test-agents</x:v>
      </x:c>
    </x:row>
    <x:row r="7">
      <x:c r="A7" s="57" t="str">
        <x:v>Virtuoso Touchstone</x:v>
      </x:c>
      <x:c r="B7" s="57" t="str">
        <x:v>Enterprise assurance workflow</x:v>
      </x:c>
      <x:c r="C7" s="57" t="str">
        <x:v>1 — vendor page</x:v>
      </x:c>
      <x:c r="D7" s="104" t="n">
        <x:v>2</x:v>
      </x:c>
      <x:c r="E7" s="104" t="n">
        <x:v>2</x:v>
      </x:c>
      <x:c r="F7" s="104" t="n">
        <x:v>2</x:v>
      </x:c>
      <x:c r="G7" s="104" t="n">
        <x:v>1</x:v>
      </x:c>
      <x:c r="H7" s="104" t="n">
        <x:v>2</x:v>
      </x:c>
      <x:c r="I7" s="104" t="n">
        <x:v>1</x:v>
      </x:c>
      <x:c r="J7" s="104" t="n">
        <x:v>2</x:v>
      </x:c>
      <x:c r="K7" s="104" t="n">
        <x:v>2</x:v>
      </x:c>
      <x:c r="L7" s="104" t="n">
        <x:v>2</x:v>
      </x:c>
      <x:c r="M7" s="104" t="n">
        <x:v>0</x:v>
      </x:c>
      <x:c r="N7" s="104" t="n">
        <x:v>1</x:v>
      </x:c>
      <x:c r="O7" s="104" t="n">
        <x:v>2</x:v>
      </x:c>
      <x:c r="P7" s="104" t="n">
        <x:v>0</x:v>
      </x:c>
      <x:c r="Q7" s="104" t="n">
        <x:v>2</x:v>
      </x:c>
      <x:c r="R7" s="104" t="n">
        <x:v>0</x:v>
      </x:c>
      <x:c r="S7" s="104" t="n">
        <x:v>2</x:v>
      </x:c>
      <x:c r="T7" s="104" t="n">
        <x:v>2</x:v>
      </x:c>
      <x:c r="U7" s="68" t="n">
        <x:f>SUMPRODUCT(D7:T7,$D$3:$T$3)/(2*SUM($D$3:$T$3))</x:f>
        <x:v>0.7545454545454545</x:v>
      </x:c>
      <x:c r="V7" s="57" t="str">
        <x:v>Официальная продуктовая страница</x:v>
      </x:c>
      <x:c r="W7" s="57" t="str">
        <x:v>https://www.virtuosoqa.com/</x:v>
      </x:c>
    </x:row>
    <x:row r="8">
      <x:c r="A8" s="57" t="str">
        <x:v>Leapwork Play</x:v>
      </x:c>
      <x:c r="B8" s="57" t="str">
        <x:v>Agentic continuous validation</x:v>
      </x:c>
      <x:c r="C8" s="57" t="str">
        <x:v>1 — vendor page</x:v>
      </x:c>
      <x:c r="D8" s="104" t="n">
        <x:v>2</x:v>
      </x:c>
      <x:c r="E8" s="104" t="n">
        <x:v>2</x:v>
      </x:c>
      <x:c r="F8" s="104" t="n">
        <x:v>2</x:v>
      </x:c>
      <x:c r="G8" s="104" t="n">
        <x:v>1</x:v>
      </x:c>
      <x:c r="H8" s="104" t="n">
        <x:v>2</x:v>
      </x:c>
      <x:c r="I8" s="104" t="n">
        <x:v>1</x:v>
      </x:c>
      <x:c r="J8" s="104" t="n">
        <x:v>2</x:v>
      </x:c>
      <x:c r="K8" s="104" t="n">
        <x:v>2</x:v>
      </x:c>
      <x:c r="L8" s="104" t="n">
        <x:v>1</x:v>
      </x:c>
      <x:c r="M8" s="104" t="n">
        <x:v>0</x:v>
      </x:c>
      <x:c r="N8" s="104" t="n">
        <x:v>1</x:v>
      </x:c>
      <x:c r="O8" s="104" t="n">
        <x:v>2</x:v>
      </x:c>
      <x:c r="P8" s="104" t="n">
        <x:v>2</x:v>
      </x:c>
      <x:c r="Q8" s="104" t="n">
        <x:v>2</x:v>
      </x:c>
      <x:c r="R8" s="104" t="n">
        <x:v>1</x:v>
      </x:c>
      <x:c r="S8" s="104" t="n">
        <x:v>2</x:v>
      </x:c>
      <x:c r="T8" s="104" t="n">
        <x:v>2</x:v>
      </x:c>
      <x:c r="U8" s="68" t="n">
        <x:f>SUMPRODUCT(D8:T8,$D$3:$T$3)/(2*SUM($D$3:$T$3))</x:f>
        <x:v>0.759090909090909</x:v>
      </x:c>
      <x:c r="V8" s="57" t="str">
        <x:v>Официальная продуктовая страница</x:v>
      </x:c>
      <x:c r="W8" s="57" t="str">
        <x:v>https://leapwork.com/leapwork-play/</x:v>
      </x:c>
    </x:row>
    <x:row r="9">
      <x:c r="A9" s="57" t="str">
        <x:v>Functionize Studio</x:v>
      </x:c>
      <x:c r="B9" s="57" t="str">
        <x:v>Autonomous testing agent</x:v>
      </x:c>
      <x:c r="C9" s="57" t="str">
        <x:v>1 — vendor page</x:v>
      </x:c>
      <x:c r="D9" s="104" t="n">
        <x:v>2</x:v>
      </x:c>
      <x:c r="E9" s="104" t="n">
        <x:v>1</x:v>
      </x:c>
      <x:c r="F9" s="104" t="n">
        <x:v>2</x:v>
      </x:c>
      <x:c r="G9" s="104" t="n">
        <x:v>1</x:v>
      </x:c>
      <x:c r="H9" s="104" t="n">
        <x:v>2</x:v>
      </x:c>
      <x:c r="I9" s="104" t="n">
        <x:v>0</x:v>
      </x:c>
      <x:c r="J9" s="104" t="n">
        <x:v>2</x:v>
      </x:c>
      <x:c r="K9" s="104" t="n">
        <x:v>1</x:v>
      </x:c>
      <x:c r="L9" s="104" t="n">
        <x:v>1</x:v>
      </x:c>
      <x:c r="M9" s="104" t="n">
        <x:v>0</x:v>
      </x:c>
      <x:c r="N9" s="104" t="n">
        <x:v>1</x:v>
      </x:c>
      <x:c r="O9" s="104" t="n">
        <x:v>2</x:v>
      </x:c>
      <x:c r="P9" s="104" t="n">
        <x:v>2</x:v>
      </x:c>
      <x:c r="Q9" s="104" t="n">
        <x:v>1</x:v>
      </x:c>
      <x:c r="R9" s="104" t="n">
        <x:v>0</x:v>
      </x:c>
      <x:c r="S9" s="104" t="n">
        <x:v>2</x:v>
      </x:c>
      <x:c r="T9" s="104" t="n">
        <x:v>2</x:v>
      </x:c>
      <x:c r="U9" s="68" t="n">
        <x:f>SUMPRODUCT(D9:T9,$D$3:$T$3)/(2*SUM($D$3:$T$3))</x:f>
        <x:v>0.6318181818181818</x:v>
      </x:c>
      <x:c r="V9" s="57" t="str">
        <x:v>Официальная продуктовая страница</x:v>
      </x:c>
      <x:c r="W9" s="57" t="str">
        <x:v>https://www.functionize.com/</x:v>
      </x:c>
    </x:row>
    <x:row r="10">
      <x:c r="A10" s="57" t="str">
        <x:v>Applitools Autonomous</x:v>
      </x:c>
      <x:c r="B10" s="57" t="str">
        <x:v>No-code deterministic AI E2E</x:v>
      </x:c>
      <x:c r="C10" s="57" t="str">
        <x:v>2 — docs/product</x:v>
      </x:c>
      <x:c r="D10" s="104" t="n">
        <x:v>1</x:v>
      </x:c>
      <x:c r="E10" s="104" t="n">
        <x:v>0</x:v>
      </x:c>
      <x:c r="F10" s="104" t="n">
        <x:v>2</x:v>
      </x:c>
      <x:c r="G10" s="104" t="n">
        <x:v>0</x:v>
      </x:c>
      <x:c r="H10" s="104" t="n">
        <x:v>2</x:v>
      </x:c>
      <x:c r="I10" s="104" t="n">
        <x:v>0</x:v>
      </x:c>
      <x:c r="J10" s="104" t="n">
        <x:v>2</x:v>
      </x:c>
      <x:c r="K10" s="104" t="n">
        <x:v>1</x:v>
      </x:c>
      <x:c r="L10" s="104" t="n">
        <x:v>1</x:v>
      </x:c>
      <x:c r="M10" s="104" t="n">
        <x:v>0</x:v>
      </x:c>
      <x:c r="N10" s="104" t="n">
        <x:v>2</x:v>
      </x:c>
      <x:c r="O10" s="104" t="n">
        <x:v>2</x:v>
      </x:c>
      <x:c r="P10" s="104" t="n">
        <x:v>1</x:v>
      </x:c>
      <x:c r="Q10" s="104" t="n">
        <x:v>2</x:v>
      </x:c>
      <x:c r="R10" s="104" t="n">
        <x:v>0</x:v>
      </x:c>
      <x:c r="S10" s="104" t="n">
        <x:v>2</x:v>
      </x:c>
      <x:c r="T10" s="104" t="n">
        <x:v>2</x:v>
      </x:c>
      <x:c r="U10" s="68" t="n">
        <x:f>SUMPRODUCT(D10:T10,$D$3:$T$3)/(2*SUM($D$3:$T$3))</x:f>
        <x:v>0.5772727272727273</x:v>
      </x:c>
      <x:c r="V10" s="57" t="str">
        <x:v>Официальная документация</x:v>
      </x:c>
      <x:c r="W10" s="57" t="str">
        <x:v>https://applitools.com/platform/autonomous/</x:v>
      </x:c>
    </x:row>
    <x:row r="11">
      <x:c r="A11" s="57" t="str">
        <x:v>Momentic</x:v>
      </x:c>
      <x:c r="B11" s="57" t="str">
        <x:v>AI-native repo YAML</x:v>
      </x:c>
      <x:c r="C11" s="57" t="str">
        <x:v>2 — docs</x:v>
      </x:c>
      <x:c r="D11" s="104" t="n">
        <x:v>2</x:v>
      </x:c>
      <x:c r="E11" s="104" t="n">
        <x:v>1</x:v>
      </x:c>
      <x:c r="F11" s="104" t="n">
        <x:v>2</x:v>
      </x:c>
      <x:c r="G11" s="104" t="n">
        <x:v>2</x:v>
      </x:c>
      <x:c r="H11" s="104" t="n">
        <x:v>1</x:v>
      </x:c>
      <x:c r="I11" s="104" t="n">
        <x:v>2</x:v>
      </x:c>
      <x:c r="J11" s="104" t="n">
        <x:v>2</x:v>
      </x:c>
      <x:c r="K11" s="104" t="n">
        <x:v>1</x:v>
      </x:c>
      <x:c r="L11" s="104" t="n">
        <x:v>1</x:v>
      </x:c>
      <x:c r="M11" s="104" t="n">
        <x:v>0</x:v>
      </x:c>
      <x:c r="N11" s="104" t="n">
        <x:v>1</x:v>
      </x:c>
      <x:c r="O11" s="104" t="n">
        <x:v>1</x:v>
      </x:c>
      <x:c r="P11" s="104" t="n">
        <x:v>2</x:v>
      </x:c>
      <x:c r="Q11" s="104" t="n">
        <x:v>1</x:v>
      </x:c>
      <x:c r="R11" s="104" t="n">
        <x:v>0</x:v>
      </x:c>
      <x:c r="S11" s="104" t="n">
        <x:v>2</x:v>
      </x:c>
      <x:c r="T11" s="104" t="n">
        <x:v>2</x:v>
      </x:c>
      <x:c r="U11" s="68" t="n">
        <x:f>SUMPRODUCT(D11:T11,$D$3:$T$3)/(2*SUM($D$3:$T$3))</x:f>
        <x:v>0.6727272727272727</x:v>
      </x:c>
      <x:c r="V11" s="57" t="str">
        <x:v>Официальная документация</x:v>
      </x:c>
      <x:c r="W11" s="57" t="str">
        <x:v>https://momentic.ai/docs</x:v>
      </x:c>
    </x:row>
    <x:row r="12">
      <x:c r="A12" s="57" t="str">
        <x:v>QA Wolf</x:v>
      </x:c>
      <x:c r="B12" s="57" t="str">
        <x:v>Managed coverage + code</x:v>
      </x:c>
      <x:c r="C12" s="57" t="str">
        <x:v>2 — docs</x:v>
      </x:c>
      <x:c r="D12" s="104" t="n">
        <x:v>2</x:v>
      </x:c>
      <x:c r="E12" s="104" t="n">
        <x:v>2</x:v>
      </x:c>
      <x:c r="F12" s="104" t="n">
        <x:v>2</x:v>
      </x:c>
      <x:c r="G12" s="104" t="n">
        <x:v>1</x:v>
      </x:c>
      <x:c r="H12" s="104" t="n">
        <x:v>2</x:v>
      </x:c>
      <x:c r="I12" s="104" t="n">
        <x:v>2</x:v>
      </x:c>
      <x:c r="J12" s="104" t="n">
        <x:v>2</x:v>
      </x:c>
      <x:c r="K12" s="104" t="n">
        <x:v>2</x:v>
      </x:c>
      <x:c r="L12" s="104" t="n">
        <x:v>1</x:v>
      </x:c>
      <x:c r="M12" s="104" t="n">
        <x:v>0</x:v>
      </x:c>
      <x:c r="N12" s="104" t="n">
        <x:v>1</x:v>
      </x:c>
      <x:c r="O12" s="104" t="n">
        <x:v>1</x:v>
      </x:c>
      <x:c r="P12" s="104" t="n">
        <x:v>2</x:v>
      </x:c>
      <x:c r="Q12" s="104" t="n">
        <x:v>2</x:v>
      </x:c>
      <x:c r="R12" s="104" t="n">
        <x:v>2</x:v>
      </x:c>
      <x:c r="S12" s="104" t="n">
        <x:v>2</x:v>
      </x:c>
      <x:c r="T12" s="104" t="n">
        <x:v>2</x:v>
      </x:c>
      <x:c r="U12" s="68" t="n">
        <x:f>SUMPRODUCT(D12:T12,$D$3:$T$3)/(2*SUM($D$3:$T$3))</x:f>
        <x:v>0.7909090909090909</x:v>
      </x:c>
      <x:c r="V12" s="57" t="str">
        <x:v>Официальная документация</x:v>
      </x:c>
      <x:c r="W12" s="57" t="str">
        <x:v>https://docs.qawolf.com/qawolf/Welcome-to-QA-Wolf</x:v>
      </x:c>
    </x:row>
    <x:row r="13">
      <x:c r="A13" s="57" t="str">
        <x:v>KaneAI</x:v>
      </x:c>
      <x:c r="B13" s="57" t="str">
        <x:v>Agentic cloud authoring</x:v>
      </x:c>
      <x:c r="C13" s="57" t="str">
        <x:v>1 — vendor/docs</x:v>
      </x:c>
      <x:c r="D13" s="104" t="n">
        <x:v>2</x:v>
      </x:c>
      <x:c r="E13" s="104" t="n">
        <x:v>2</x:v>
      </x:c>
      <x:c r="F13" s="104" t="n">
        <x:v>2</x:v>
      </x:c>
      <x:c r="G13" s="104" t="n">
        <x:v>1</x:v>
      </x:c>
      <x:c r="H13" s="104" t="n">
        <x:v>1</x:v>
      </x:c>
      <x:c r="I13" s="104" t="n">
        <x:v>2</x:v>
      </x:c>
      <x:c r="J13" s="104" t="n">
        <x:v>2</x:v>
      </x:c>
      <x:c r="K13" s="104" t="n">
        <x:v>2</x:v>
      </x:c>
      <x:c r="L13" s="104" t="n">
        <x:v>2</x:v>
      </x:c>
      <x:c r="M13" s="104" t="n">
        <x:v>0</x:v>
      </x:c>
      <x:c r="N13" s="104" t="n">
        <x:v>2</x:v>
      </x:c>
      <x:c r="O13" s="104" t="n">
        <x:v>2</x:v>
      </x:c>
      <x:c r="P13" s="104" t="n">
        <x:v>2</x:v>
      </x:c>
      <x:c r="Q13" s="104" t="n">
        <x:v>2</x:v>
      </x:c>
      <x:c r="R13" s="104" t="n">
        <x:v>2</x:v>
      </x:c>
      <x:c r="S13" s="104" t="n">
        <x:v>2</x:v>
      </x:c>
      <x:c r="T13" s="104" t="n">
        <x:v>2</x:v>
      </x:c>
      <x:c r="U13" s="68" t="n">
        <x:f>SUMPRODUCT(D13:T13,$D$3:$T$3)/(2*SUM($D$3:$T$3))</x:f>
        <x:v>0.8318181818181818</x:v>
      </x:c>
      <x:c r="V13" s="57" t="str">
        <x:v>Официальная продуктовая страница</x:v>
      </x:c>
      <x:c r="W13" s="57" t="str">
        <x:v>https://www.testmuai.com/kane-ai/</x:v>
      </x:c>
    </x:row>
    <x:row r="14">
      <x:c r="A14" s="57" t="str">
        <x:v>BrowserStack Agentic Low Code</x:v>
      </x:c>
      <x:c r="B14" s="57" t="str">
        <x:v>Agentic low-code + device cloud</x:v>
      </x:c>
      <x:c r="C14" s="57" t="str">
        <x:v>2 — docs</x:v>
      </x:c>
      <x:c r="D14" s="104" t="n">
        <x:v>2</x:v>
      </x:c>
      <x:c r="E14" s="104" t="n">
        <x:v>2</x:v>
      </x:c>
      <x:c r="F14" s="104" t="n">
        <x:v>2</x:v>
      </x:c>
      <x:c r="G14" s="104" t="n">
        <x:v>1</x:v>
      </x:c>
      <x:c r="H14" s="104" t="n">
        <x:v>1</x:v>
      </x:c>
      <x:c r="I14" s="104" t="n">
        <x:v>0</x:v>
      </x:c>
      <x:c r="J14" s="104" t="n">
        <x:v>2</x:v>
      </x:c>
      <x:c r="K14" s="104" t="n">
        <x:v>2</x:v>
      </x:c>
      <x:c r="L14" s="104" t="n">
        <x:v>1</x:v>
      </x:c>
      <x:c r="M14" s="104" t="n">
        <x:v>0</x:v>
      </x:c>
      <x:c r="N14" s="104" t="n">
        <x:v>2</x:v>
      </x:c>
      <x:c r="O14" s="104" t="n">
        <x:v>2</x:v>
      </x:c>
      <x:c r="P14" s="104" t="n">
        <x:v>2</x:v>
      </x:c>
      <x:c r="Q14" s="104" t="n">
        <x:v>2</x:v>
      </x:c>
      <x:c r="R14" s="104" t="n">
        <x:v>2</x:v>
      </x:c>
      <x:c r="S14" s="104" t="n">
        <x:v>2</x:v>
      </x:c>
      <x:c r="T14" s="104" t="n">
        <x:v>1</x:v>
      </x:c>
      <x:c r="U14" s="68" t="n">
        <x:f>SUMPRODUCT(D14:T14,$D$3:$T$3)/(2*SUM($D$3:$T$3))</x:f>
        <x:v>0.6909090909090909</x:v>
      </x:c>
      <x:c r="V14" s="57" t="str">
        <x:v>Официальная документация</x:v>
      </x:c>
      <x:c r="W14" s="57" t="str">
        <x:v>https://www.browserstack.com/docs/low-code-automation/test-recording/browserstack-ai/agentic-testing</x:v>
      </x:c>
    </x:row>
    <x:row r="15">
      <x:c r="A15" s="57" t="str">
        <x:v>SmartBear Reflect</x:v>
      </x:c>
      <x:c r="B15" s="57" t="str">
        <x:v>AI no-code web/mobile</x:v>
      </x:c>
      <x:c r="C15" s="57" t="str">
        <x:v>2 — docs</x:v>
      </x:c>
      <x:c r="D15" s="104" t="n">
        <x:v>2</x:v>
      </x:c>
      <x:c r="E15" s="104" t="n">
        <x:v>1</x:v>
      </x:c>
      <x:c r="F15" s="104" t="n">
        <x:v>2</x:v>
      </x:c>
      <x:c r="G15" s="104" t="n">
        <x:v>1</x:v>
      </x:c>
      <x:c r="H15" s="104" t="n">
        <x:v>1</x:v>
      </x:c>
      <x:c r="I15" s="104" t="n">
        <x:v>0</x:v>
      </x:c>
      <x:c r="J15" s="104" t="n">
        <x:v>2</x:v>
      </x:c>
      <x:c r="K15" s="104" t="n">
        <x:v>1</x:v>
      </x:c>
      <x:c r="L15" s="104" t="n">
        <x:v>1</x:v>
      </x:c>
      <x:c r="M15" s="104" t="n">
        <x:v>0</x:v>
      </x:c>
      <x:c r="N15" s="104" t="n">
        <x:v>2</x:v>
      </x:c>
      <x:c r="O15" s="104" t="n">
        <x:v>2</x:v>
      </x:c>
      <x:c r="P15" s="104" t="n">
        <x:v>2</x:v>
      </x:c>
      <x:c r="Q15" s="104" t="n">
        <x:v>2</x:v>
      </x:c>
      <x:c r="R15" s="104" t="n">
        <x:v>0</x:v>
      </x:c>
      <x:c r="S15" s="104" t="n">
        <x:v>2</x:v>
      </x:c>
      <x:c r="T15" s="104" t="n">
        <x:v>2</x:v>
      </x:c>
      <x:c r="U15" s="68" t="n">
        <x:f>SUMPRODUCT(D15:T15,$D$3:$T$3)/(2*SUM($D$3:$T$3))</x:f>
        <x:v>0.6318181818181818</x:v>
      </x:c>
      <x:c r="V15" s="57" t="str">
        <x:v>Официальная документация</x:v>
      </x:c>
      <x:c r="W15" s="57" t="str">
        <x:v>https://support.smartbear.com/reflect/docs/en/recording</x:v>
      </x:c>
    </x:row>
    <x:row r="16">
      <x:c r="A16" s="58" t="str">
        <x:v>mabl</x:v>
      </x:c>
      <x:c r="B16" s="58" t="str">
        <x:v>AI low-code platform</x:v>
      </x:c>
      <x:c r="C16" s="58" t="str">
        <x:v>2 — docs</x:v>
      </x:c>
      <x:c r="D16" s="105" t="n">
        <x:v>2</x:v>
      </x:c>
      <x:c r="E16" s="105" t="n">
        <x:v>1</x:v>
      </x:c>
      <x:c r="F16" s="105" t="n">
        <x:v>2</x:v>
      </x:c>
      <x:c r="G16" s="105" t="n">
        <x:v>1</x:v>
      </x:c>
      <x:c r="H16" s="105" t="n">
        <x:v>1</x:v>
      </x:c>
      <x:c r="I16" s="105" t="n">
        <x:v>0</x:v>
      </x:c>
      <x:c r="J16" s="105" t="n">
        <x:v>2</x:v>
      </x:c>
      <x:c r="K16" s="105" t="n">
        <x:v>1</x:v>
      </x:c>
      <x:c r="L16" s="105" t="n">
        <x:v>1</x:v>
      </x:c>
      <x:c r="M16" s="105" t="n">
        <x:v>0</x:v>
      </x:c>
      <x:c r="N16" s="105" t="n">
        <x:v>2</x:v>
      </x:c>
      <x:c r="O16" s="105" t="n">
        <x:v>2</x:v>
      </x:c>
      <x:c r="P16" s="105" t="n">
        <x:v>2</x:v>
      </x:c>
      <x:c r="Q16" s="105" t="n">
        <x:v>2</x:v>
      </x:c>
      <x:c r="R16" s="105" t="n">
        <x:v>1</x:v>
      </x:c>
      <x:c r="S16" s="105" t="n">
        <x:v>2</x:v>
      </x:c>
      <x:c r="T16" s="105" t="n">
        <x:v>2</x:v>
      </x:c>
      <x:c r="U16" s="69" t="n">
        <x:f>SUMPRODUCT(D16:T16,$D$3:$T$3)/(2*SUM($D$3:$T$3))</x:f>
        <x:v>0.6454545454545455</x:v>
      </x:c>
      <x:c r="V16" s="58" t="str">
        <x:v>Официальная документация</x:v>
      </x:c>
      <x:c r="W16" s="58" t="str">
        <x:v>https://help.mabl.com/hc/en-us/articles/19078583792404-How-auto-heal-works</x:v>
      </x:c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  <x:c r="L17" s="140"/>
      <x:c r="M17" s="140"/>
      <x:c r="N17" s="140"/>
      <x:c r="O17" s="140"/>
      <x:c r="P17" s="140"/>
      <x:c r="Q17" s="140"/>
      <x:c r="R17" s="140"/>
      <x:c r="S17" s="140"/>
      <x:c r="T17" s="140"/>
      <x:c r="U17" s="140"/>
      <x:c r="V17" s="140"/>
      <x:c r="W17" s="140"/>
    </x:row>
    <x:row r="18">
      <x:c r="A18" s="140"/>
      <x:c r="B18" s="140"/>
      <x:c r="C18" s="140"/>
      <x:c r="D18" s="140"/>
      <x:c r="E18" s="140"/>
      <x:c r="F18" s="140"/>
      <x:c r="G18" s="140"/>
      <x:c r="H18" s="140"/>
      <x:c r="I18" s="140"/>
      <x:c r="J18" s="140"/>
      <x:c r="K18" s="140"/>
      <x:c r="L18" s="140"/>
      <x:c r="M18" s="140"/>
      <x:c r="N18" s="140"/>
      <x:c r="O18" s="140"/>
      <x:c r="P18" s="140"/>
      <x:c r="Q18" s="140"/>
      <x:c r="R18" s="140"/>
      <x:c r="S18" s="140"/>
      <x:c r="T18" s="140"/>
      <x:c r="U18" s="140"/>
      <x:c r="V18" s="140"/>
      <x:c r="W18" s="140"/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  <x:c r="J19" s="140"/>
      <x:c r="K19" s="140"/>
      <x:c r="L19" s="140"/>
      <x:c r="M19" s="140"/>
      <x:c r="N19" s="140"/>
      <x:c r="O19" s="140"/>
      <x:c r="P19" s="140"/>
      <x:c r="Q19" s="140"/>
      <x:c r="R19" s="140"/>
      <x:c r="S19" s="140"/>
      <x:c r="T19" s="140"/>
      <x:c r="U19" s="140"/>
      <x:c r="V19" s="140"/>
      <x:c r="W19" s="140"/>
    </x:row>
    <x:row r="20">
      <x:c r="A20" s="150" t="str">
        <x:v>Словарь критериев</x:v>
      </x:c>
      <x:c r="B20" s="151"/>
      <x:c r="C20" s="151"/>
      <x:c r="D20" s="151"/>
      <x:c r="E20" s="151"/>
      <x:c r="F20" s="151"/>
      <x:c r="G20" s="151"/>
      <x:c r="H20" s="151"/>
      <x:c r="I20" s="151"/>
      <x:c r="J20" s="151"/>
      <x:c r="K20" s="151"/>
      <x:c r="L20" s="151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2"/>
    </x:row>
    <x:row r="21" ht="30" customHeight="1">
      <x:c r="A21" s="153" t="str">
        <x:v>Критерий</x:v>
      </x:c>
      <x:c r="B21" s="154" t="str">
        <x:v>Вес</x:v>
      </x:c>
      <x:c r="C21" s="155" t="str">
        <x:v>Операционное определение</x:v>
      </x:c>
      <x:c r="D21" s="140"/>
      <x:c r="E21" s="140"/>
      <x:c r="F21" s="140"/>
      <x:c r="G21" s="140"/>
      <x:c r="H21" s="140"/>
      <x:c r="I21" s="140"/>
      <x:c r="J21" s="140"/>
      <x:c r="K21" s="140"/>
      <x:c r="L21" s="140"/>
      <x:c r="M21" s="140"/>
      <x:c r="N21" s="140"/>
      <x:c r="O21" s="140"/>
      <x:c r="P21" s="140"/>
      <x:c r="Q21" s="140"/>
      <x:c r="R21" s="140"/>
      <x:c r="S21" s="140"/>
      <x:c r="T21" s="140"/>
      <x:c r="U21" s="140"/>
      <x:c r="V21" s="140"/>
      <x:c r="W21" s="140"/>
    </x:row>
    <x:row r="22">
      <x:c r="A22" s="56" t="str">
        <x:v>Requirement/PR input</x:v>
      </x:c>
      <x:c r="B22" s="56" t="n">
        <x:v>6</x:v>
      </x:c>
      <x:c r="C22" s="56" t="str">
        <x:v>Принимает requirement, PR или документ как исходный intent</x:v>
      </x:c>
      <x:c r="D22" s="140"/>
      <x:c r="E22" s="140"/>
      <x:c r="F22" s="140"/>
      <x:c r="G22" s="140"/>
      <x:c r="H22" s="140"/>
      <x:c r="I22" s="140"/>
      <x:c r="J22" s="140"/>
      <x:c r="K22" s="140"/>
      <x:c r="L22" s="140"/>
      <x:c r="M22" s="140"/>
      <x:c r="N22" s="140"/>
      <x:c r="O22" s="140"/>
      <x:c r="P22" s="140"/>
      <x:c r="Q22" s="140"/>
      <x:c r="R22" s="140"/>
      <x:c r="S22" s="140"/>
      <x:c r="T22" s="140"/>
      <x:c r="U22" s="140"/>
      <x:c r="V22" s="140"/>
      <x:c r="W22" s="140"/>
    </x:row>
    <x:row r="23">
      <x:c r="A23" s="57" t="str">
        <x:v>План-артефакт</x:v>
      </x:c>
      <x:c r="B23" s="57" t="n">
        <x:v>6</x:v>
      </x:c>
      <x:c r="C23" s="57" t="str">
        <x:v>Создаёт проверяемый план до генерации/исполнения</x:v>
      </x:c>
      <x:c r="D23" s="140"/>
      <x:c r="E23" s="140"/>
      <x:c r="F23" s="140"/>
      <x:c r="G23" s="140"/>
      <x:c r="H23" s="140"/>
      <x:c r="I23" s="140"/>
      <x:c r="J23" s="140"/>
      <x:c r="K23" s="140"/>
      <x:c r="L23" s="140"/>
      <x:c r="M23" s="140"/>
      <x:c r="N23" s="140"/>
      <x:c r="O23" s="140"/>
      <x:c r="P23" s="140"/>
      <x:c r="Q23" s="140"/>
      <x:c r="R23" s="140"/>
      <x:c r="S23" s="140"/>
      <x:c r="T23" s="140"/>
      <x:c r="U23" s="140"/>
      <x:c r="V23" s="140"/>
      <x:c r="W23" s="140"/>
    </x:row>
    <x:row r="24">
      <x:c r="A24" s="57" t="str">
        <x:v>Agent authoring</x:v>
      </x:c>
      <x:c r="B24" s="57" t="n">
        <x:v>8</x:v>
      </x:c>
      <x:c r="C24" s="57" t="str">
        <x:v>Агент создаёт исполняемый тест, а не только кликает</x:v>
      </x:c>
      <x:c r="D24" s="140"/>
      <x:c r="E24" s="140"/>
      <x:c r="F24" s="140"/>
      <x:c r="G24" s="140"/>
      <x:c r="H24" s="140"/>
      <x:c r="I24" s="140"/>
      <x:c r="J24" s="140"/>
      <x:c r="K24" s="140"/>
      <x:c r="L24" s="140"/>
      <x:c r="M24" s="140"/>
      <x:c r="N24" s="140"/>
      <x:c r="O24" s="140"/>
      <x:c r="P24" s="140"/>
      <x:c r="Q24" s="140"/>
      <x:c r="R24" s="140"/>
      <x:c r="S24" s="140"/>
      <x:c r="T24" s="140"/>
      <x:c r="U24" s="140"/>
      <x:c r="V24" s="140"/>
      <x:c r="W24" s="140"/>
    </x:row>
    <x:row r="25">
      <x:c r="A25" s="57" t="str">
        <x:v>Local run</x:v>
      </x:c>
      <x:c r="B25" s="57" t="n">
        <x:v>7</x:v>
      </x:c>
      <x:c r="C25" s="57" t="str">
        <x:v>Поддерживает локальный запуск, включая private/local apps</x:v>
      </x:c>
      <x:c r="D25" s="140"/>
      <x:c r="E25" s="140"/>
      <x:c r="F25" s="140"/>
      <x:c r="G25" s="140"/>
      <x:c r="H25" s="140"/>
      <x:c r="I25" s="140"/>
      <x:c r="J25" s="140"/>
      <x:c r="K25" s="140"/>
      <x:c r="L25" s="140"/>
      <x:c r="M25" s="140"/>
      <x:c r="N25" s="140"/>
      <x:c r="O25" s="140"/>
      <x:c r="P25" s="140"/>
      <x:c r="Q25" s="140"/>
      <x:c r="R25" s="140"/>
      <x:c r="S25" s="140"/>
      <x:c r="T25" s="140"/>
      <x:c r="U25" s="140"/>
      <x:c r="V25" s="140"/>
      <x:c r="W25" s="140"/>
    </x:row>
    <x:row r="26">
      <x:c r="A26" s="57" t="str">
        <x:v>Deterministic replay</x:v>
      </x:c>
      <x:c r="B26" s="57" t="n">
        <x:v>10</x:v>
      </x:c>
      <x:c r="C26" s="57" t="str">
        <x:v>Обычный CI replay не принимает вероятностные решения</x:v>
      </x:c>
      <x:c r="D26" s="140"/>
      <x:c r="E26" s="140"/>
      <x:c r="F26" s="140"/>
      <x:c r="G26" s="140"/>
      <x:c r="H26" s="140"/>
      <x:c r="I26" s="140"/>
      <x:c r="J26" s="140"/>
      <x:c r="K26" s="140"/>
      <x:c r="L26" s="140"/>
      <x:c r="M26" s="140"/>
      <x:c r="N26" s="140"/>
      <x:c r="O26" s="140"/>
      <x:c r="P26" s="140"/>
      <x:c r="Q26" s="140"/>
      <x:c r="R26" s="140"/>
      <x:c r="S26" s="140"/>
      <x:c r="T26" s="140"/>
      <x:c r="U26" s="140"/>
      <x:c r="V26" s="140"/>
      <x:c r="W26" s="140"/>
    </x:row>
    <x:row r="27">
      <x:c r="A27" s="57" t="str">
        <x:v>Repo-owned</x:v>
      </x:c>
      <x:c r="B27" s="57" t="n">
        <x:v>8</x:v>
      </x:c>
      <x:c r="C27" s="57" t="str">
        <x:v>Долговечный тест хранится в репозитории/экспортируется как код</x:v>
      </x:c>
      <x:c r="D27" s="140"/>
      <x:c r="E27" s="140"/>
      <x:c r="F27" s="140"/>
      <x:c r="G27" s="140"/>
      <x:c r="H27" s="140"/>
      <x:c r="I27" s="140"/>
      <x:c r="J27" s="140"/>
      <x:c r="K27" s="140"/>
      <x:c r="L27" s="140"/>
      <x:c r="M27" s="140"/>
      <x:c r="N27" s="140"/>
      <x:c r="O27" s="140"/>
      <x:c r="P27" s="140"/>
      <x:c r="Q27" s="140"/>
      <x:c r="R27" s="140"/>
      <x:c r="S27" s="140"/>
      <x:c r="T27" s="140"/>
      <x:c r="U27" s="140"/>
      <x:c r="V27" s="140"/>
      <x:c r="W27" s="140"/>
    </x:row>
    <x:row r="28">
      <x:c r="A28" s="57" t="str">
        <x:v>Evidence</x:v>
      </x:c>
      <x:c r="B28" s="57" t="n">
        <x:v>8</x:v>
      </x:c>
      <x:c r="C28" s="57" t="str">
        <x:v>Структурированные trace/video/network/console или аналогичные доказательства</x:v>
      </x:c>
      <x:c r="D28" s="140"/>
      <x:c r="E28" s="140"/>
      <x:c r="F28" s="140"/>
      <x:c r="G28" s="140"/>
      <x:c r="H28" s="140"/>
      <x:c r="I28" s="140"/>
      <x:c r="J28" s="140"/>
      <x:c r="K28" s="140"/>
      <x:c r="L28" s="140"/>
      <x:c r="M28" s="140"/>
      <x:c r="N28" s="140"/>
      <x:c r="O28" s="140"/>
      <x:c r="P28" s="140"/>
      <x:c r="Q28" s="140"/>
      <x:c r="R28" s="140"/>
      <x:c r="S28" s="140"/>
      <x:c r="T28" s="140"/>
      <x:c r="U28" s="140"/>
      <x:c r="V28" s="140"/>
      <x:c r="W28" s="140"/>
    </x:row>
    <x:row r="29">
      <x:c r="A29" s="57" t="str">
        <x:v>Traceability</x:v>
      </x:c>
      <x:c r="B29" s="57" t="n">
        <x:v>8</x:v>
      </x:c>
      <x:c r="C29" s="57" t="str">
        <x:v>Связь requirement → plan → test → run → decision</x:v>
      </x:c>
      <x:c r="D29" s="140"/>
      <x:c r="E29" s="140"/>
      <x:c r="F29" s="140"/>
      <x:c r="G29" s="140"/>
      <x:c r="H29" s="140"/>
      <x:c r="I29" s="140"/>
      <x:c r="J29" s="140"/>
      <x:c r="K29" s="140"/>
      <x:c r="L29" s="140"/>
      <x:c r="M29" s="140"/>
      <x:c r="N29" s="140"/>
      <x:c r="O29" s="140"/>
      <x:c r="P29" s="140"/>
      <x:c r="Q29" s="140"/>
      <x:c r="R29" s="140"/>
      <x:c r="S29" s="140"/>
      <x:c r="T29" s="140"/>
      <x:c r="U29" s="140"/>
      <x:c r="V29" s="140"/>
      <x:c r="W29" s="140"/>
    </x:row>
    <x:row r="30">
      <x:c r="A30" s="57" t="str">
        <x:v>Reviewable heal</x:v>
      </x:c>
      <x:c r="B30" s="57" t="n">
        <x:v>8</x:v>
      </x:c>
      <x:c r="C30" s="57" t="str">
        <x:v>Repair видим, объяснён и подлежит review</x:v>
      </x:c>
      <x:c r="D30" s="140"/>
      <x:c r="E30" s="140"/>
      <x:c r="F30" s="140"/>
      <x:c r="G30" s="140"/>
      <x:c r="H30" s="140"/>
      <x:c r="I30" s="140"/>
      <x:c r="J30" s="140"/>
      <x:c r="K30" s="140"/>
      <x:c r="L30" s="140"/>
      <x:c r="M30" s="140"/>
      <x:c r="N30" s="140"/>
      <x:c r="O30" s="140"/>
      <x:c r="P30" s="140"/>
      <x:c r="Q30" s="140"/>
      <x:c r="R30" s="140"/>
      <x:c r="S30" s="140"/>
      <x:c r="T30" s="140"/>
      <x:c r="U30" s="140"/>
      <x:c r="V30" s="140"/>
      <x:c r="W30" s="140"/>
    </x:row>
    <x:row r="31">
      <x:c r="A31" s="57" t="str">
        <x:v>Public truth corpus</x:v>
      </x:c>
      <x:c r="B31" s="57" t="n">
        <x:v>10</x:v>
      </x:c>
      <x:c r="C31" s="57" t="str">
        <x:v>Публично измеряет false green/false red/right reason</x:v>
      </x:c>
      <x:c r="D31" s="140"/>
      <x:c r="E31" s="140"/>
      <x:c r="F31" s="140"/>
      <x:c r="G31" s="140"/>
      <x:c r="H31" s="140"/>
      <x:c r="I31" s="140"/>
      <x:c r="J31" s="140"/>
      <x:c r="K31" s="140"/>
      <x:c r="L31" s="140"/>
      <x:c r="M31" s="140"/>
      <x:c r="N31" s="140"/>
      <x:c r="O31" s="140"/>
      <x:c r="P31" s="140"/>
      <x:c r="Q31" s="140"/>
      <x:c r="R31" s="140"/>
      <x:c r="S31" s="140"/>
      <x:c r="T31" s="140"/>
      <x:c r="U31" s="140"/>
      <x:c r="V31" s="140"/>
      <x:c r="W31" s="140"/>
    </x:row>
    <x:row r="32">
      <x:c r="A32" s="57" t="str">
        <x:v>API oracle</x:v>
      </x:c>
      <x:c r="B32" s="57" t="n">
        <x:v>7</x:v>
      </x:c>
      <x:c r="C32" s="57" t="str">
        <x:v>UI-flow проверяется независимым API/state oracle</x:v>
      </x:c>
      <x:c r="D32" s="140"/>
      <x:c r="E32" s="140"/>
      <x:c r="F32" s="140"/>
      <x:c r="G32" s="140"/>
      <x:c r="H32" s="140"/>
      <x:c r="I32" s="140"/>
      <x:c r="J32" s="140"/>
      <x:c r="K32" s="140"/>
      <x:c r="L32" s="140"/>
      <x:c r="M32" s="140"/>
      <x:c r="N32" s="140"/>
      <x:c r="O32" s="140"/>
      <x:c r="P32" s="140"/>
      <x:c r="Q32" s="140"/>
      <x:c r="R32" s="140"/>
      <x:c r="S32" s="140"/>
      <x:c r="T32" s="140"/>
      <x:c r="U32" s="140"/>
      <x:c r="V32" s="140"/>
      <x:c r="W32" s="140"/>
    </x:row>
    <x:row r="33">
      <x:c r="A33" s="57" t="str">
        <x:v>Cross-browser</x:v>
      </x:c>
      <x:c r="B33" s="57" t="n">
        <x:v>4</x:v>
      </x:c>
      <x:c r="C33" s="57" t="str">
        <x:v>First-class Chromium/Firefox/WebKit или эквивалент</x:v>
      </x:c>
      <x:c r="D33" s="140"/>
      <x:c r="E33" s="140"/>
      <x:c r="F33" s="140"/>
      <x:c r="G33" s="140"/>
      <x:c r="H33" s="140"/>
      <x:c r="I33" s="140"/>
      <x:c r="J33" s="140"/>
      <x:c r="K33" s="140"/>
      <x:c r="L33" s="140"/>
      <x:c r="M33" s="140"/>
      <x:c r="N33" s="140"/>
      <x:c r="O33" s="140"/>
      <x:c r="P33" s="140"/>
      <x:c r="Q33" s="140"/>
      <x:c r="R33" s="140"/>
      <x:c r="S33" s="140"/>
      <x:c r="T33" s="140"/>
      <x:c r="U33" s="140"/>
      <x:c r="V33" s="140"/>
      <x:c r="W33" s="140"/>
    </x:row>
    <x:row r="34">
      <x:c r="A34" s="57" t="str">
        <x:v>Mobile</x:v>
      </x:c>
      <x:c r="B34" s="57" t="n">
        <x:v>3</x:v>
      </x:c>
      <x:c r="C34" s="57" t="str">
        <x:v>Native или полноценное mobile app testing</x:v>
      </x:c>
      <x:c r="D34" s="140"/>
      <x:c r="E34" s="140"/>
      <x:c r="F34" s="140"/>
      <x:c r="G34" s="140"/>
      <x:c r="H34" s="140"/>
      <x:c r="I34" s="140"/>
      <x:c r="J34" s="140"/>
      <x:c r="K34" s="140"/>
      <x:c r="L34" s="140"/>
      <x:c r="M34" s="140"/>
      <x:c r="N34" s="140"/>
      <x:c r="O34" s="140"/>
      <x:c r="P34" s="140"/>
      <x:c r="Q34" s="140"/>
      <x:c r="R34" s="140"/>
      <x:c r="S34" s="140"/>
      <x:c r="T34" s="140"/>
      <x:c r="U34" s="140"/>
      <x:c r="V34" s="140"/>
      <x:c r="W34" s="140"/>
    </x:row>
    <x:row r="35">
      <x:c r="A35" s="57" t="str">
        <x:v>Visual</x:v>
      </x:c>
      <x:c r="B35" s="57" t="n">
        <x:v>3</x:v>
      </x:c>
      <x:c r="C35" s="57" t="str">
        <x:v>Visual regression/AI checkpoints</x:v>
      </x:c>
      <x:c r="D35" s="140"/>
      <x:c r="E35" s="140"/>
      <x:c r="F35" s="140"/>
      <x:c r="G35" s="140"/>
      <x:c r="H35" s="140"/>
      <x:c r="I35" s="140"/>
      <x:c r="J35" s="140"/>
      <x:c r="K35" s="140"/>
      <x:c r="L35" s="140"/>
      <x:c r="M35" s="140"/>
      <x:c r="N35" s="140"/>
      <x:c r="O35" s="140"/>
      <x:c r="P35" s="140"/>
      <x:c r="Q35" s="140"/>
      <x:c r="R35" s="140"/>
      <x:c r="S35" s="140"/>
      <x:c r="T35" s="140"/>
      <x:c r="U35" s="140"/>
      <x:c r="V35" s="140"/>
      <x:c r="W35" s="140"/>
    </x:row>
    <x:row r="36">
      <x:c r="A36" s="57" t="str">
        <x:v>Accessibility</x:v>
      </x:c>
      <x:c r="B36" s="57" t="n">
        <x:v>3</x:v>
      </x:c>
      <x:c r="C36" s="57" t="str">
        <x:v>Встроенные или first-class a11y проверки</x:v>
      </x:c>
      <x:c r="D36" s="140"/>
      <x:c r="E36" s="140"/>
      <x:c r="F36" s="140"/>
      <x:c r="G36" s="140"/>
      <x:c r="H36" s="140"/>
      <x:c r="I36" s="140"/>
      <x:c r="J36" s="140"/>
      <x:c r="K36" s="140"/>
      <x:c r="L36" s="140"/>
      <x:c r="M36" s="140"/>
      <x:c r="N36" s="140"/>
      <x:c r="O36" s="140"/>
      <x:c r="P36" s="140"/>
      <x:c r="Q36" s="140"/>
      <x:c r="R36" s="140"/>
      <x:c r="S36" s="140"/>
      <x:c r="T36" s="140"/>
      <x:c r="U36" s="140"/>
      <x:c r="V36" s="140"/>
      <x:c r="W36" s="140"/>
    </x:row>
    <x:row r="37">
      <x:c r="A37" s="57" t="str">
        <x:v>Parallel/cloud</x:v>
      </x:c>
      <x:c r="B37" s="57" t="n">
        <x:v>4</x:v>
      </x:c>
      <x:c r="C37" s="57" t="str">
        <x:v>Параллельный запуск и/или управляемая инфраструктура</x:v>
      </x:c>
      <x:c r="D37" s="140"/>
      <x:c r="E37" s="140"/>
      <x:c r="F37" s="140"/>
      <x:c r="G37" s="140"/>
      <x:c r="H37" s="140"/>
      <x:c r="I37" s="140"/>
      <x:c r="J37" s="140"/>
      <x:c r="K37" s="140"/>
      <x:c r="L37" s="140"/>
      <x:c r="M37" s="140"/>
      <x:c r="N37" s="140"/>
      <x:c r="O37" s="140"/>
      <x:c r="P37" s="140"/>
      <x:c r="Q37" s="140"/>
      <x:c r="R37" s="140"/>
      <x:c r="S37" s="140"/>
      <x:c r="T37" s="140"/>
      <x:c r="U37" s="140"/>
      <x:c r="V37" s="140"/>
      <x:c r="W37" s="140"/>
    </x:row>
    <x:row r="38">
      <x:c r="A38" s="58" t="str">
        <x:v>Shipped E2E flow</x:v>
      </x:c>
      <x:c r="B38" s="58" t="n">
        <x:v>7</x:v>
      </x:c>
      <x:c r="C38" s="58" t="str">
        <x:v>Полный agent workflow доступен сейчас, а не только спроектирован</x:v>
      </x:c>
      <x:c r="D38" s="140"/>
      <x:c r="E38" s="140"/>
      <x:c r="F38" s="140"/>
      <x:c r="G38" s="140"/>
      <x:c r="H38" s="140"/>
      <x:c r="I38" s="140"/>
      <x:c r="J38" s="140"/>
      <x:c r="K38" s="140"/>
      <x:c r="L38" s="140"/>
      <x:c r="M38" s="140"/>
      <x:c r="N38" s="140"/>
      <x:c r="O38" s="140"/>
      <x:c r="P38" s="140"/>
      <x:c r="Q38" s="140"/>
      <x:c r="R38" s="140"/>
      <x:c r="S38" s="140"/>
      <x:c r="T38" s="140"/>
      <x:c r="U38" s="140"/>
      <x:c r="V38" s="140"/>
      <x:c r="W38" s="140"/>
    </x:row>
  </x:sheetData>
  <x:mergeCells>
    <x:mergeCell ref="A1:W1"/>
    <x:mergeCell ref="A2:W2"/>
    <x:mergeCell ref="A3:C3"/>
    <x:mergeCell ref="A20:W20"/>
  </x:mergeCells>
  <x:conditionalFormatting sqref="D5:T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5:U16">
    <x:cfRule type="dataBar" priority="2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{B1A77E38-9856-2D07-3E2D-F97DF2D5D554}</x14:id>
        </x:ext>
      </x:extLst>
    </x:cfRule>
  </x:conditionalFormatting>
  <x:dataValidations count="2">
    <x:dataValidation type="whole" operator="between" sqref="D3:T3">
      <x:formula1>0</x:formula1>
      <x:formula2>10</x:formula2>
    </x:dataValidation>
    <x:dataValidation type="whole" operator="between" sqref="D5:T16">
      <x:formula1>0</x:formula1>
      <x:formula2>2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1A77E38-9856-2D07-3E2D-F97DF2D5D554}">
            <x14:dataBar gradient="1">
              <x14:cfvo type="min"/>
              <x14:cfvo type="max"/>
              <x14:fillColor rgb="FF2563EB"/>
            </x14:dataBar>
          </x14:cfRule>
          <xm:sqref>U5:U16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31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1" max="11" width="18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4" customHeight="1">
      <x:c r="A1" s="138" t="str">
        <x:v>Измерения и сырые данные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</x:row>
    <x:row r="2" ht="30" customHeight="1">
      <x:c r="A2" s="139" t="str">
        <x:v>Только локально воспроизводимые числа. Коммерческие arms пока не измерены и не получают искусственных результатов.</x:v>
      </x:c>
      <x:c r="B2" s="139"/>
      <x:c r="C2" s="139"/>
      <x:c r="D2" s="139"/>
      <x:c r="E2" s="139"/>
      <x:c r="F2" s="139"/>
      <x:c r="G2" s="139"/>
      <x:c r="H2" s="139"/>
      <x:c r="I2" s="139"/>
      <x:c r="J2" s="139"/>
      <x:c r="K2" s="139"/>
      <x:c r="L2" s="139"/>
      <x:c r="M2" s="139"/>
      <x:c r="N2" s="139"/>
      <x:c r="O2" s="139"/>
      <x:c r="P2" s="139"/>
      <x:c r="Q2" s="139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  <x:c r="L3" s="140"/>
      <x:c r="M3" s="140"/>
      <x:c r="N3" s="140"/>
      <x:c r="O3" s="140"/>
      <x:c r="P3" s="140"/>
      <x:c r="Q3" s="140"/>
    </x:row>
    <x:row r="4" ht="30" customHeight="1">
      <x:c r="A4" s="153" t="str">
        <x:v>Трек</x:v>
      </x:c>
      <x:c r="B4" s="154" t="str">
        <x:v>Arm</x:v>
      </x:c>
      <x:c r="C4" s="154" t="str">
        <x:v>N</x:v>
      </x:c>
      <x:c r="D4" s="154" t="str">
        <x:v>Median ms</x:v>
      </x:c>
      <x:c r="E4" s="154" t="str">
        <x:v>Median CI95 low</x:v>
      </x:c>
      <x:c r="F4" s="154" t="str">
        <x:v>Median CI95 high</x:v>
      </x:c>
      <x:c r="G4" s="154" t="str">
        <x:v>P95 ms</x:v>
      </x:c>
      <x:c r="H4" s="154" t="str">
        <x:v>Min ms</x:v>
      </x:c>
      <x:c r="I4" s="155" t="str">
        <x:v>Max ms</x:v>
      </x:c>
      <x:c r="J4" s="140"/>
      <x:c r="K4" s="153" t="str">
        <x:v>Arm</x:v>
      </x:c>
      <x:c r="L4" s="155" t="str">
        <x:v>Median ms</x:v>
      </x:c>
      <x:c r="M4" s="140"/>
      <x:c r="N4" s="140"/>
      <x:c r="O4" s="140"/>
      <x:c r="P4" s="140"/>
      <x:c r="Q4" s="140"/>
    </x:row>
    <x:row r="5">
      <x:c r="A5" s="56" t="str">
        <x:v>Fresh-process replay</x:v>
      </x:c>
      <x:c r="B5" s="56" t="str">
        <x:v>Testence</x:v>
      </x:c>
      <x:c r="C5" s="118" t="n">
        <x:f>COUNT(B14:H14)</x:f>
        <x:v>7</x:v>
      </x:c>
      <x:c r="D5" s="119" t="n">
        <x:f>MEDIAN(B14:H14)</x:f>
        <x:v>1743.5</x:v>
      </x:c>
      <x:c r="E5" s="119" t="n">
        <x:v>1695</x:v>
      </x:c>
      <x:c r="F5" s="119" t="n">
        <x:v>1783.6</x:v>
      </x:c>
      <x:c r="G5" s="119" t="n">
        <x:f>PERCENTILE.INC(B14:H14,0.95)</x:f>
        <x:v>1812.3</x:v>
      </x:c>
      <x:c r="H5" s="119" t="n">
        <x:f>MIN(B14:H14)</x:f>
        <x:v>1659.6</x:v>
      </x:c>
      <x:c r="I5" s="119" t="n">
        <x:f>MAX(B14:H14)</x:f>
        <x:v>1824.6</x:v>
      </x:c>
      <x:c r="J5" s="140"/>
      <x:c r="K5" s="140" t="str">
        <x:v>Testence</x:v>
      </x:c>
      <x:c r="L5" s="140" t="n">
        <x:f>D5</x:f>
        <x:v>1743.5</x:v>
      </x:c>
      <x:c r="M5" s="140"/>
      <x:c r="N5" s="140"/>
      <x:c r="O5" s="140"/>
      <x:c r="P5" s="140"/>
      <x:c r="Q5" s="140"/>
    </x:row>
    <x:row r="6">
      <x:c r="A6" s="58" t="str">
        <x:v>Fresh-process replay</x:v>
      </x:c>
      <x:c r="B6" s="58" t="str">
        <x:v>Playwright Test</x:v>
      </x:c>
      <x:c r="C6" s="120" t="n">
        <x:f>COUNT(B15:H15)</x:f>
        <x:v>7</x:v>
      </x:c>
      <x:c r="D6" s="121" t="n">
        <x:f>MEDIAN(B15:H15)</x:f>
        <x:v>2404.6</x:v>
      </x:c>
      <x:c r="E6" s="121" t="n">
        <x:v>2034.1</x:v>
      </x:c>
      <x:c r="F6" s="121" t="n">
        <x:v>2454.1</x:v>
      </x:c>
      <x:c r="G6" s="121" t="n">
        <x:f>PERCENTILE.INC(B15:H15,0.95)</x:f>
        <x:v>2462.71</x:v>
      </x:c>
      <x:c r="H6" s="121" t="n">
        <x:f>MIN(B15:H15)</x:f>
        <x:v>2007.9</x:v>
      </x:c>
      <x:c r="I6" s="121" t="n">
        <x:f>MAX(B15:H15)</x:f>
        <x:v>2466.4</x:v>
      </x:c>
      <x:c r="J6" s="140"/>
      <x:c r="K6" s="140" t="str">
        <x:v>Playwright Test</x:v>
      </x:c>
      <x:c r="L6" s="140" t="n">
        <x:f>D6</x:f>
        <x:v>2404.6</x:v>
      </x:c>
      <x:c r="M6" s="140"/>
      <x:c r="N6" s="140"/>
      <x:c r="O6" s="140"/>
      <x:c r="P6" s="140"/>
      <x:c r="Q6" s="140"/>
    </x:row>
    <x:row r="7">
      <x:c r="A7" s="140"/>
      <x:c r="B7" s="140"/>
      <x:c r="C7" s="140"/>
      <x:c r="D7" s="140"/>
      <x:c r="E7" s="140"/>
      <x:c r="F7" s="140"/>
      <x:c r="G7" s="140"/>
      <x:c r="H7" s="140"/>
      <x:c r="I7" s="140"/>
      <x:c r="J7" s="140"/>
      <x:c r="K7" s="140"/>
      <x:c r="L7" s="140"/>
      <x:c r="M7" s="140"/>
      <x:c r="N7" s="140"/>
      <x:c r="O7" s="140"/>
      <x:c r="P7" s="140"/>
      <x:c r="Q7" s="140"/>
    </x:row>
    <x:row r="8" ht="30" customHeight="1">
      <x:c r="A8" s="153" t="str">
        <x:v>Arm</x:v>
      </x:c>
      <x:c r="B8" s="154" t="str">
        <x:v>Source lines</x:v>
      </x:c>
      <x:c r="C8" s="154" t="str">
        <x:v>Bytes</x:v>
      </x:c>
      <x:c r="D8" s="154" t="str">
        <x:v>Median overhead</x:v>
      </x:c>
      <x:c r="E8" s="154" t="str">
        <x:v>Что измерено</x:v>
      </x:c>
      <x:c r="F8" s="155" t="str">
        <x:v>Что НЕ измерено</x:v>
      </x:c>
      <x:c r="G8" s="140"/>
      <x:c r="H8" s="140"/>
      <x:c r="I8" s="140"/>
      <x:c r="J8" s="140"/>
      <x:c r="K8" s="140"/>
      <x:c r="L8" s="140"/>
      <x:c r="M8" s="140"/>
      <x:c r="N8" s="140"/>
      <x:c r="O8" s="140"/>
      <x:c r="P8" s="140"/>
      <x:c r="Q8" s="140"/>
    </x:row>
    <x:row r="9">
      <x:c r="A9" s="56" t="str">
        <x:v>Testence</x:v>
      </x:c>
      <x:c r="B9" s="56" t="n">
        <x:v>13</x:v>
      </x:c>
      <x:c r="C9" s="56" t="n">
        <x:v>605</x:v>
      </x:c>
      <x:c r="D9" s="128" t="n">
        <x:f>D5/D6-1</x:f>
        <x:v>-0.27493138151875574</x:v>
      </x:c>
      <x:c r="E9" s="56" t="str">
        <x:v>Fresh process + discovery + browser + run + report + shutdown</x:v>
      </x:c>
      <x:c r="F9" s="56" t="str">
        <x:v>source size is a transparent proxy only; elapsed authoring and review time were not measured in this replay experiment</x:v>
      </x:c>
      <x:c r="G9" s="140"/>
      <x:c r="H9" s="140"/>
      <x:c r="I9" s="140"/>
      <x:c r="J9" s="140"/>
      <x:c r="K9" s="140"/>
      <x:c r="L9" s="140"/>
      <x:c r="M9" s="140"/>
      <x:c r="N9" s="140"/>
      <x:c r="O9" s="140"/>
      <x:c r="P9" s="140"/>
      <x:c r="Q9" s="140"/>
    </x:row>
    <x:row r="10">
      <x:c r="A10" s="58" t="str">
        <x:v>Playwright Test</x:v>
      </x:c>
      <x:c r="B10" s="58" t="n">
        <x:v>21</x:v>
      </x:c>
      <x:c r="C10" s="58" t="n">
        <x:v>842</x:v>
      </x:c>
      <x:c r="D10" s="129" t="n">
        <x:f>0</x:f>
        <x:v>0</x:v>
      </x:c>
      <x:c r="E10" s="58" t="str">
        <x:v>То же timing boundary</x:v>
      </x:c>
      <x:c r="F10" s="58" t="str">
        <x:v>source size is a transparent proxy only; elapsed authoring and review time were not measured in this replay experiment</x:v>
      </x:c>
      <x:c r="G10" s="140"/>
      <x:c r="H10" s="140"/>
      <x:c r="I10" s="140"/>
      <x:c r="J10" s="140"/>
      <x:c r="K10" s="140"/>
      <x:c r="L10" s="140"/>
      <x:c r="M10" s="140"/>
      <x:c r="N10" s="140"/>
      <x:c r="O10" s="140"/>
      <x:c r="P10" s="140"/>
      <x:c r="Q10" s="140"/>
    </x:row>
    <x:row r="11">
      <x:c r="A11" s="140"/>
      <x:c r="B11" s="140"/>
      <x:c r="C11" s="140"/>
      <x:c r="D11" s="140"/>
      <x:c r="E11" s="140"/>
      <x:c r="F11" s="140"/>
      <x:c r="G11" s="140"/>
      <x:c r="H11" s="140"/>
      <x:c r="I11" s="140"/>
      <x:c r="J11" s="140"/>
      <x:c r="K11" s="140"/>
      <x:c r="L11" s="140"/>
      <x:c r="M11" s="140"/>
      <x:c r="N11" s="140"/>
      <x:c r="O11" s="140"/>
      <x:c r="P11" s="140"/>
      <x:c r="Q11" s="140"/>
    </x:row>
    <x:row r="12" ht="30" customHeight="1">
      <x:c r="A12" s="153" t="str">
        <x:v>Arm / sample</x:v>
      </x:c>
      <x:c r="B12" s="154" t="str">
        <x:v>1</x:v>
      </x:c>
      <x:c r="C12" s="154" t="str">
        <x:v>2</x:v>
      </x:c>
      <x:c r="D12" s="154" t="str">
        <x:v>3</x:v>
      </x:c>
      <x:c r="E12" s="154" t="str">
        <x:v>4</x:v>
      </x:c>
      <x:c r="F12" s="154" t="str">
        <x:v>5</x:v>
      </x:c>
      <x:c r="G12" s="154" t="str">
        <x:v>6</x:v>
      </x:c>
      <x:c r="H12" s="155" t="str">
        <x:v>7</x:v>
      </x:c>
      <x:c r="I12" s="140"/>
      <x:c r="J12" s="140"/>
      <x:c r="K12" s="140"/>
      <x:c r="L12" s="140"/>
      <x:c r="M12" s="140"/>
      <x:c r="N12" s="140"/>
      <x:c r="O12" s="140"/>
      <x:c r="P12" s="140"/>
      <x:c r="Q12" s="140"/>
    </x:row>
    <x:row r="13">
      <x:c r="A13" s="56" t="str">
        <x:v>Единица</x:v>
      </x:c>
      <x:c r="B13" s="56" t="str">
        <x:v>ms</x:v>
      </x:c>
      <x:c r="C13" s="56" t="str">
        <x:v>ms</x:v>
      </x:c>
      <x:c r="D13" s="56" t="str">
        <x:v>ms</x:v>
      </x:c>
      <x:c r="E13" s="56" t="str">
        <x:v>ms</x:v>
      </x:c>
      <x:c r="F13" s="56" t="str">
        <x:v>ms</x:v>
      </x:c>
      <x:c r="G13" s="56" t="str">
        <x:v>ms</x:v>
      </x:c>
      <x:c r="H13" s="56" t="str">
        <x:v>ms</x:v>
      </x:c>
      <x:c r="I13" s="140"/>
      <x:c r="J13" s="140"/>
      <x:c r="K13" s="140"/>
      <x:c r="L13" s="140"/>
      <x:c r="M13" s="140"/>
      <x:c r="N13" s="140"/>
      <x:c r="O13" s="140"/>
      <x:c r="P13" s="140"/>
      <x:c r="Q13" s="140"/>
    </x:row>
    <x:row r="14">
      <x:c r="A14" s="57" t="str">
        <x:v>Testence</x:v>
      </x:c>
      <x:c r="B14" s="130" t="n">
        <x:v>1824.6</x:v>
      </x:c>
      <x:c r="C14" s="130" t="n">
        <x:v>1740.2</x:v>
      </x:c>
      <x:c r="D14" s="130" t="n">
        <x:v>1695</x:v>
      </x:c>
      <x:c r="E14" s="130" t="n">
        <x:v>1783.6</x:v>
      </x:c>
      <x:c r="F14" s="130" t="n">
        <x:v>1763.4</x:v>
      </x:c>
      <x:c r="G14" s="130" t="n">
        <x:v>1659.6</x:v>
      </x:c>
      <x:c r="H14" s="130" t="n">
        <x:v>1743.5</x:v>
      </x:c>
      <x:c r="I14" s="140"/>
      <x:c r="J14" s="140"/>
      <x:c r="K14" s="140"/>
      <x:c r="L14" s="140"/>
      <x:c r="M14" s="140"/>
      <x:c r="N14" s="140"/>
      <x:c r="O14" s="140"/>
      <x:c r="P14" s="140"/>
      <x:c r="Q14" s="140"/>
    </x:row>
    <x:row r="15">
      <x:c r="A15" s="58" t="str">
        <x:v>Playwright Test</x:v>
      </x:c>
      <x:c r="B15" s="121" t="n">
        <x:v>2454.1</x:v>
      </x:c>
      <x:c r="C15" s="121" t="n">
        <x:v>2441.5</x:v>
      </x:c>
      <x:c r="D15" s="121" t="n">
        <x:v>2034.1</x:v>
      </x:c>
      <x:c r="E15" s="121" t="n">
        <x:v>2466.4</x:v>
      </x:c>
      <x:c r="F15" s="121" t="n">
        <x:v>2106</x:v>
      </x:c>
      <x:c r="G15" s="121" t="n">
        <x:v>2007.9</x:v>
      </x:c>
      <x:c r="H15" s="121" t="n">
        <x:v>2404.6</x:v>
      </x:c>
      <x:c r="I15" s="140"/>
      <x:c r="J15" s="140"/>
      <x:c r="K15" s="140"/>
      <x:c r="L15" s="140"/>
      <x:c r="M15" s="140"/>
      <x:c r="N15" s="140"/>
      <x:c r="O15" s="140"/>
      <x:c r="P15" s="140"/>
      <x:c r="Q15" s="140"/>
    </x:row>
    <x:row r="16">
      <x:c r="A16" s="140"/>
      <x:c r="B16" s="140"/>
      <x:c r="C16" s="140"/>
      <x:c r="D16" s="140"/>
      <x:c r="E16" s="140"/>
      <x:c r="F16" s="140"/>
      <x:c r="G16" s="140"/>
      <x:c r="H16" s="140"/>
      <x:c r="I16" s="140"/>
      <x:c r="J16" s="140"/>
      <x:c r="K16" s="140"/>
      <x:c r="L16" s="140"/>
      <x:c r="M16" s="140"/>
      <x:c r="N16" s="140"/>
      <x:c r="O16" s="140"/>
      <x:c r="P16" s="140"/>
      <x:c r="Q16" s="140"/>
    </x:row>
    <x:row r="17">
      <x:c r="A17" s="140"/>
      <x:c r="B17" s="140"/>
      <x:c r="C17" s="140"/>
      <x:c r="D17" s="140"/>
      <x:c r="E17" s="140"/>
      <x:c r="F17" s="140"/>
      <x:c r="G17" s="140"/>
      <x:c r="H17" s="140"/>
      <x:c r="I17" s="140"/>
      <x:c r="J17" s="140"/>
      <x:c r="K17" s="140"/>
      <x:c r="L17" s="140"/>
      <x:c r="M17" s="140"/>
      <x:c r="N17" s="140"/>
      <x:c r="O17" s="140"/>
      <x:c r="P17" s="140"/>
      <x:c r="Q17" s="140"/>
    </x:row>
    <x:row r="18">
      <x:c r="A18" s="150" t="str">
        <x:v>Correctness / truth corpus</x:v>
      </x:c>
      <x:c r="B18" s="151"/>
      <x:c r="C18" s="151"/>
      <x:c r="D18" s="151"/>
      <x:c r="E18" s="151"/>
      <x:c r="F18" s="151"/>
      <x:c r="G18" s="151"/>
      <x:c r="H18" s="152"/>
      <x:c r="I18" s="140"/>
      <x:c r="J18" s="140"/>
      <x:c r="K18" s="140"/>
      <x:c r="L18" s="140"/>
      <x:c r="M18" s="140"/>
      <x:c r="N18" s="140"/>
      <x:c r="O18" s="140"/>
      <x:c r="P18" s="140"/>
      <x:c r="Q18" s="140"/>
    </x:row>
    <x:row r="19" ht="30" customHeight="1">
      <x:c r="A19" s="153" t="str">
        <x:v>Метрика</x:v>
      </x:c>
      <x:c r="B19" s="155" t="str">
        <x:v>Значение</x:v>
      </x:c>
      <x:c r="C19" s="140"/>
      <x:c r="D19" s="153" t="str">
        <x:v>Stratum</x:v>
      </x:c>
      <x:c r="E19" s="154" t="str">
        <x:v>Caught</x:v>
      </x:c>
      <x:c r="F19" s="155" t="str">
        <x:v>Total</x:v>
      </x:c>
      <x:c r="G19" s="140"/>
      <x:c r="H19" s="140"/>
      <x:c r="I19" s="140"/>
      <x:c r="J19" s="140"/>
      <x:c r="K19" s="140"/>
      <x:c r="L19" s="140"/>
      <x:c r="M19" s="140"/>
      <x:c r="N19" s="140"/>
      <x:c r="O19" s="140"/>
      <x:c r="P19" s="140"/>
      <x:c r="Q19" s="140"/>
    </x:row>
    <x:row r="20">
      <x:c r="A20" s="56" t="str">
        <x:v>Outcome accuracy</x:v>
      </x:c>
      <x:c r="B20" s="67" t="n">
        <x:v>1</x:v>
      </x:c>
      <x:c r="C20" s="140"/>
      <x:c r="D20" s="56" t="str">
        <x:v>P — product defects</x:v>
      </x:c>
      <x:c r="E20" s="56" t="n">
        <x:v>12</x:v>
      </x:c>
      <x:c r="F20" s="56" t="n">
        <x:v>12</x:v>
      </x:c>
      <x:c r="G20" s="140"/>
      <x:c r="H20" s="140"/>
      <x:c r="I20" s="140"/>
      <x:c r="J20" s="140"/>
      <x:c r="K20" s="140"/>
      <x:c r="L20" s="140"/>
      <x:c r="M20" s="140"/>
      <x:c r="N20" s="140"/>
      <x:c r="O20" s="140"/>
      <x:c r="P20" s="140"/>
      <x:c r="Q20" s="140"/>
    </x:row>
    <x:row r="21">
      <x:c r="A21" s="57" t="str">
        <x:v>False green rate</x:v>
      </x:c>
      <x:c r="B21" s="68" t="n">
        <x:v>0</x:v>
      </x:c>
      <x:c r="C21" s="140"/>
      <x:c r="D21" s="57" t="str">
        <x:v>O — oracle defects</x:v>
      </x:c>
      <x:c r="E21" s="57" t="n">
        <x:v>15</x:v>
      </x:c>
      <x:c r="F21" s="57" t="n">
        <x:v>15</x:v>
      </x:c>
      <x:c r="G21" s="140"/>
      <x:c r="H21" s="140"/>
      <x:c r="I21" s="140"/>
      <x:c r="J21" s="140"/>
      <x:c r="K21" s="140"/>
      <x:c r="L21" s="140"/>
      <x:c r="M21" s="140"/>
      <x:c r="N21" s="140"/>
      <x:c r="O21" s="140"/>
      <x:c r="P21" s="140"/>
      <x:c r="Q21" s="140"/>
    </x:row>
    <x:row r="22">
      <x:c r="A22" s="57" t="str">
        <x:v>False red rate</x:v>
      </x:c>
      <x:c r="B22" s="68" t="n">
        <x:v>0</x:v>
      </x:c>
      <x:c r="C22" s="140"/>
      <x:c r="D22" s="58" t="str">
        <x:v>Drift</x:v>
      </x:c>
      <x:c r="E22" s="58" t="n">
        <x:v>3</x:v>
      </x:c>
      <x:c r="F22" s="58" t="n">
        <x:v>3</x:v>
      </x:c>
      <x:c r="G22" s="140"/>
      <x:c r="H22" s="140"/>
      <x:c r="I22" s="140"/>
      <x:c r="J22" s="140"/>
      <x:c r="K22" s="140"/>
      <x:c r="L22" s="140"/>
      <x:c r="M22" s="140"/>
      <x:c r="N22" s="140"/>
      <x:c r="O22" s="140"/>
      <x:c r="P22" s="140"/>
      <x:c r="Q22" s="140"/>
    </x:row>
    <x:row r="23">
      <x:c r="A23" s="57" t="str">
        <x:v>Right reason rate</x:v>
      </x:c>
      <x:c r="B23" s="68" t="n">
        <x:v>1</x:v>
      </x:c>
      <x:c r="C23" s="140"/>
      <x:c r="D23" s="140"/>
      <x:c r="E23" s="140"/>
      <x:c r="F23" s="140"/>
      <x:c r="G23" s="140"/>
      <x:c r="H23" s="140"/>
      <x:c r="I23" s="140"/>
      <x:c r="J23" s="140"/>
      <x:c r="K23" s="140"/>
      <x:c r="L23" s="140"/>
      <x:c r="M23" s="140"/>
      <x:c r="N23" s="140"/>
      <x:c r="O23" s="140"/>
      <x:c r="P23" s="140"/>
      <x:c r="Q23" s="140"/>
    </x:row>
    <x:row r="24">
      <x:c r="A24" s="57" t="str">
        <x:v>Heal recall</x:v>
      </x:c>
      <x:c r="B24" s="68" t="n">
        <x:v>1</x:v>
      </x:c>
      <x:c r="C24" s="140"/>
      <x:c r="D24" s="160" t="str">
        <x:v>Ограничение: это синтетический насыщенный smoke floor — нет A-stratum, многостраничных и конкурентных сценариев. Значения 100% нельзя экстраполировать на реальный портфель без расширения корпуса.</x:v>
      </x:c>
      <x:c r="E24" s="160"/>
      <x:c r="F24" s="160"/>
      <x:c r="G24" s="160"/>
      <x:c r="H24" s="160"/>
      <x:c r="I24" s="140"/>
      <x:c r="J24" s="140"/>
      <x:c r="K24" s="140"/>
      <x:c r="L24" s="140"/>
      <x:c r="M24" s="140"/>
      <x:c r="N24" s="140"/>
      <x:c r="O24" s="140"/>
      <x:c r="P24" s="140"/>
      <x:c r="Q24" s="140"/>
    </x:row>
    <x:row r="25">
      <x:c r="A25" s="58" t="str">
        <x:v>Item-runs</x:v>
      </x:c>
      <x:c r="B25" s="58" t="n">
        <x:v>51</x:v>
      </x:c>
      <x:c r="C25" s="140"/>
      <x:c r="D25" s="160"/>
      <x:c r="E25" s="160"/>
      <x:c r="F25" s="160"/>
      <x:c r="G25" s="160"/>
      <x:c r="H25" s="160"/>
      <x:c r="I25" s="140"/>
      <x:c r="J25" s="140"/>
      <x:c r="K25" s="140"/>
      <x:c r="L25" s="140"/>
      <x:c r="M25" s="140"/>
      <x:c r="N25" s="140"/>
      <x:c r="O25" s="140"/>
      <x:c r="P25" s="140"/>
      <x:c r="Q25" s="140"/>
    </x:row>
    <x:row r="26">
      <x:c r="A26" s="140"/>
      <x:c r="B26" s="140"/>
      <x:c r="C26" s="140"/>
      <x:c r="D26" s="160"/>
      <x:c r="E26" s="160"/>
      <x:c r="F26" s="160"/>
      <x:c r="G26" s="160"/>
      <x:c r="H26" s="160"/>
      <x:c r="I26" s="140"/>
      <x:c r="J26" s="140"/>
      <x:c r="K26" s="140"/>
      <x:c r="L26" s="140"/>
      <x:c r="M26" s="140"/>
      <x:c r="N26" s="140"/>
      <x:c r="O26" s="140"/>
      <x:c r="P26" s="140"/>
      <x:c r="Q26" s="140"/>
    </x:row>
    <x:row r="27">
      <x:c r="A27" s="140"/>
      <x:c r="B27" s="140"/>
      <x:c r="C27" s="140"/>
      <x:c r="D27" s="160"/>
      <x:c r="E27" s="160"/>
      <x:c r="F27" s="160"/>
      <x:c r="G27" s="160"/>
      <x:c r="H27" s="160"/>
      <x:c r="I27" s="140"/>
      <x:c r="J27" s="140"/>
      <x:c r="K27" s="140"/>
      <x:c r="L27" s="140"/>
      <x:c r="M27" s="140"/>
      <x:c r="N27" s="140"/>
      <x:c r="O27" s="140"/>
      <x:c r="P27" s="140"/>
      <x:c r="Q27" s="140"/>
    </x:row>
    <x:row r="28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  <x:c r="L28" s="140"/>
      <x:c r="M28" s="140"/>
      <x:c r="N28" s="140"/>
      <x:c r="O28" s="140"/>
      <x:c r="P28" s="140"/>
      <x:c r="Q28" s="140"/>
    </x:row>
    <x:row r="29">
      <x:c r="A29" s="150" t="str">
        <x:v>Микроизмерения и интерактивный baseline (диагностические, не product winner)</x:v>
      </x:c>
      <x:c r="B29" s="151"/>
      <x:c r="C29" s="151"/>
      <x:c r="D29" s="151"/>
      <x:c r="E29" s="151"/>
      <x:c r="F29" s="151"/>
      <x:c r="G29" s="151"/>
      <x:c r="H29" s="152"/>
      <x:c r="I29" s="140"/>
      <x:c r="J29" s="140"/>
      <x:c r="K29" s="140"/>
      <x:c r="L29" s="140"/>
      <x:c r="M29" s="140"/>
      <x:c r="N29" s="140"/>
      <x:c r="O29" s="140"/>
      <x:c r="P29" s="140"/>
      <x:c r="Q29" s="140"/>
    </x:row>
    <x:row r="30" ht="30" customHeight="1">
      <x:c r="A30" s="153" t="str">
        <x:v>Arm</x:v>
      </x:c>
      <x:c r="B30" s="154" t="str">
        <x:v>Instant p50 ms</x:v>
      </x:c>
      <x:c r="C30" s="154" t="str">
        <x:v>Instant p95 ms</x:v>
      </x:c>
      <x:c r="D30" s="154" t="str">
        <x:v>Launch ms</x:v>
      </x:c>
      <x:c r="E30" s="154" t="str">
        <x:v>N steps</x:v>
      </x:c>
      <x:c r="F30" s="155" t="str">
        <x:v>Интерпретация</x:v>
      </x:c>
      <x:c r="G30" s="140"/>
      <x:c r="H30" s="140"/>
      <x:c r="I30" s="140"/>
      <x:c r="J30" s="140"/>
      <x:c r="K30" s="140"/>
      <x:c r="L30" s="140"/>
      <x:c r="M30" s="140"/>
      <x:c r="N30" s="140"/>
      <x:c r="O30" s="140"/>
      <x:c r="P30" s="140"/>
      <x:c r="Q30" s="140"/>
    </x:row>
    <x:row r="31">
      <x:c r="A31" s="56" t="str">
        <x:v>Python binding</x:v>
      </x:c>
      <x:c r="B31" s="56" t="n">
        <x:v>16</x:v>
      </x:c>
      <x:c r="C31" s="56" t="n">
        <x:v>44.93</x:v>
      </x:c>
      <x:c r="D31" s="56" t="n">
        <x:v>1926.8</x:v>
      </x:c>
      <x:c r="E31" s="56" t="n">
        <x:v>180</x:v>
      </x:c>
      <x:c r="F31" s="56" t="str">
        <x:v>Binding-level microbenchmark</x:v>
      </x:c>
      <x:c r="G31" s="140"/>
      <x:c r="H31" s="140"/>
      <x:c r="I31" s="140"/>
      <x:c r="J31" s="140"/>
      <x:c r="K31" s="140"/>
      <x:c r="L31" s="140"/>
      <x:c r="M31" s="140"/>
      <x:c r="N31" s="140"/>
      <x:c r="O31" s="140"/>
      <x:c r="P31" s="140"/>
      <x:c r="Q31" s="140"/>
    </x:row>
    <x:row r="32">
      <x:c r="A32" s="58" t="str">
        <x:v>Node binding</x:v>
      </x:c>
      <x:c r="B32" s="58" t="n">
        <x:v>12.57</x:v>
      </x:c>
      <x:c r="C32" s="58" t="n">
        <x:v>44.49</x:v>
      </x:c>
      <x:c r="D32" s="58" t="n">
        <x:v>754</x:v>
      </x:c>
      <x:c r="E32" s="58" t="n">
        <x:v>180</x:v>
      </x:c>
      <x:c r="F32" s="58" t="str">
        <x:v>Binding-level microbenchmark</x:v>
      </x:c>
      <x:c r="G32" s="140"/>
      <x:c r="H32" s="140"/>
      <x:c r="I32" s="140"/>
      <x:c r="J32" s="140"/>
      <x:c r="K32" s="140"/>
      <x:c r="L32" s="140"/>
      <x:c r="M32" s="140"/>
      <x:c r="N32" s="140"/>
      <x:c r="O32" s="140"/>
      <x:c r="P32" s="140"/>
      <x:c r="Q32" s="140"/>
    </x:row>
    <x:row r="33">
      <x:c r="A33" s="140"/>
      <x:c r="B33" s="140"/>
      <x:c r="C33" s="140"/>
      <x:c r="D33" s="140"/>
      <x:c r="E33" s="140"/>
      <x:c r="F33" s="140"/>
      <x:c r="G33" s="140"/>
      <x:c r="H33" s="140"/>
      <x:c r="I33" s="140"/>
      <x:c r="J33" s="140"/>
      <x:c r="K33" s="140"/>
      <x:c r="L33" s="140"/>
      <x:c r="M33" s="140"/>
      <x:c r="N33" s="140"/>
      <x:c r="O33" s="140"/>
      <x:c r="P33" s="140"/>
      <x:c r="Q33" s="140"/>
    </x:row>
    <x:row r="34" ht="30" customHeight="1">
      <x:c r="A34" s="153" t="str">
        <x:v>Arm</x:v>
      </x:c>
      <x:c r="B34" s="154" t="str">
        <x:v>Wall-clock s</x:v>
      </x:c>
      <x:c r="C34" s="154" t="str">
        <x:v>ms/step</x:v>
      </x:c>
      <x:c r="D34" s="154" t="str">
        <x:v>Tool calls</x:v>
      </x:c>
      <x:c r="E34" s="154" t="str">
        <x:v>Ratio</x:v>
      </x:c>
      <x:c r="F34" s="155" t="str">
        <x:v>Caveat</x:v>
      </x:c>
      <x:c r="G34" s="140"/>
      <x:c r="H34" s="140"/>
      <x:c r="I34" s="140"/>
      <x:c r="J34" s="140"/>
      <x:c r="K34" s="140"/>
      <x:c r="L34" s="140"/>
      <x:c r="M34" s="140"/>
      <x:c r="N34" s="140"/>
      <x:c r="O34" s="140"/>
      <x:c r="P34" s="140"/>
      <x:c r="Q34" s="140"/>
    </x:row>
    <x:row r="35">
      <x:c r="A35" s="56" t="str">
        <x:v>Interactive browser MCP</x:v>
      </x:c>
      <x:c r="B35" s="56" t="n">
        <x:v>70.6</x:v>
      </x:c>
      <x:c r="C35" s="56" t="n">
        <x:v>11760</x:v>
      </x:c>
      <x:c r="D35" s="56" t="n">
        <x:v>9</x:v>
      </x:c>
      <x:c r="E35" s="56" t="n">
        <x:f>B35/B36</x:f>
        <x:v>200</x:v>
      </x:c>
      <x:c r="F35" s="56" t="str">
        <x:v>includes two read_page calls, a viewport resize and two failed clicks caused by a 0x0 viewport - all normal friction of the interactive path</x:v>
      </x:c>
      <x:c r="G35" s="140"/>
      <x:c r="H35" s="140"/>
      <x:c r="I35" s="140"/>
      <x:c r="J35" s="140"/>
      <x:c r="K35" s="140"/>
      <x:c r="L35" s="140"/>
      <x:c r="M35" s="140"/>
      <x:c r="N35" s="140"/>
      <x:c r="O35" s="140"/>
      <x:c r="P35" s="140"/>
      <x:c r="Q35" s="140"/>
    </x:row>
    <x:row r="36">
      <x:c r="A36" s="58" t="str">
        <x:v>Testence script</x:v>
      </x:c>
      <x:c r="B36" s="58" t="n">
        <x:v>0.353</x:v>
      </x:c>
      <x:c r="C36" s="58" t="n">
        <x:v>59</x:v>
      </x:c>
      <x:c r="D36" s="58"/>
      <x:c r="E36" s="58" t="n">
        <x:f>1</x:f>
        <x:v>1</x:v>
      </x:c>
      <x:c r="F36" s="58" t="str">
        <x:v>Один синтетический sample; не сравнение с коммерческим продуктом</x:v>
      </x:c>
      <x:c r="G36" s="140"/>
      <x:c r="H36" s="140"/>
      <x:c r="I36" s="140"/>
      <x:c r="J36" s="140"/>
      <x:c r="K36" s="140"/>
      <x:c r="L36" s="140"/>
      <x:c r="M36" s="140"/>
      <x:c r="N36" s="140"/>
      <x:c r="O36" s="140"/>
      <x:c r="P36" s="140"/>
      <x:c r="Q36" s="140"/>
    </x:row>
    <x:row r="37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  <x:c r="L37" s="140"/>
      <x:c r="M37" s="140"/>
      <x:c r="N37" s="140"/>
      <x:c r="O37" s="140"/>
      <x:c r="P37" s="140"/>
      <x:c r="Q37" s="140"/>
    </x:row>
    <x:row r="38">
      <x:c r="A38" s="140"/>
      <x:c r="B38" s="140"/>
      <x:c r="C38" s="140"/>
      <x:c r="D38" s="140"/>
      <x:c r="E38" s="140"/>
      <x:c r="F38" s="140"/>
      <x:c r="G38" s="140"/>
      <x:c r="H38" s="140"/>
      <x:c r="I38" s="140"/>
      <x:c r="J38" s="140"/>
      <x:c r="K38" s="140"/>
      <x:c r="L38" s="140"/>
      <x:c r="M38" s="140"/>
      <x:c r="N38" s="140"/>
      <x:c r="O38" s="140"/>
      <x:c r="P38" s="140"/>
      <x:c r="Q38" s="140"/>
    </x:row>
    <x:row r="39">
      <x:c r="A39" s="150" t="str">
        <x:v>Запланированные коммерческие arms</x:v>
      </x:c>
      <x:c r="B39" s="151"/>
      <x:c r="C39" s="151"/>
      <x:c r="D39" s="151"/>
      <x:c r="E39" s="151"/>
      <x:c r="F39" s="151"/>
      <x:c r="G39" s="151"/>
      <x:c r="H39" s="152"/>
      <x:c r="I39" s="140"/>
      <x:c r="J39" s="140"/>
      <x:c r="K39" s="140"/>
      <x:c r="L39" s="140"/>
      <x:c r="M39" s="140"/>
      <x:c r="N39" s="140"/>
      <x:c r="O39" s="140"/>
      <x:c r="P39" s="140"/>
      <x:c r="Q39" s="140"/>
    </x:row>
    <x:row r="40" ht="30" customHeight="1">
      <x:c r="A40" s="153" t="str">
        <x:v>Arm</x:v>
      </x:c>
      <x:c r="B40" s="154" t="str">
        <x:v>Replay</x:v>
      </x:c>
      <x:c r="C40" s="154" t="str">
        <x:v>Authoring</x:v>
      </x:c>
      <x:c r="D40" s="154" t="str">
        <x:v>Maintenance</x:v>
      </x:c>
      <x:c r="E40" s="155" t="str">
        <x:v>Причина отсутствия числа</x:v>
      </x:c>
      <x:c r="F40" s="140"/>
      <x:c r="G40" s="140"/>
      <x:c r="H40" s="140"/>
      <x:c r="I40" s="140"/>
      <x:c r="J40" s="140"/>
      <x:c r="K40" s="140"/>
      <x:c r="L40" s="140"/>
      <x:c r="M40" s="140"/>
      <x:c r="N40" s="140"/>
      <x:c r="O40" s="140"/>
      <x:c r="P40" s="140"/>
      <x:c r="Q40" s="140"/>
    </x:row>
    <x:row r="41">
      <x:c r="A41" s="56" t="str">
        <x:v>Momentic</x:v>
      </x:c>
      <x:c r="B41" s="56" t="str">
        <x:v>Не измерено</x:v>
      </x:c>
      <x:c r="C41" s="56" t="str">
        <x:v>Не измерено</x:v>
      </x:c>
      <x:c r="D41" s="56" t="str">
        <x:v>Не измерено</x:v>
      </x:c>
      <x:c r="E41" s="56" t="str">
        <x:v>Нужен рабочий trial/account</x:v>
      </x:c>
      <x:c r="F41" s="140"/>
      <x:c r="G41" s="140"/>
      <x:c r="H41" s="140"/>
      <x:c r="I41" s="140"/>
      <x:c r="J41" s="140"/>
      <x:c r="K41" s="140"/>
      <x:c r="L41" s="140"/>
      <x:c r="M41" s="140"/>
      <x:c r="N41" s="140"/>
      <x:c r="O41" s="140"/>
      <x:c r="P41" s="140"/>
      <x:c r="Q41" s="140"/>
    </x:row>
    <x:row r="42">
      <x:c r="A42" s="57" t="str">
        <x:v>Virtuoso</x:v>
      </x:c>
      <x:c r="B42" s="57" t="str">
        <x:v>Не измерено</x:v>
      </x:c>
      <x:c r="C42" s="57" t="str">
        <x:v>Не измерено</x:v>
      </x:c>
      <x:c r="D42" s="57" t="str">
        <x:v>Не измерено</x:v>
      </x:c>
      <x:c r="E42" s="57" t="str">
        <x:v>Нужен vendor trial/account</x:v>
      </x:c>
      <x:c r="F42" s="140"/>
      <x:c r="G42" s="140"/>
      <x:c r="H42" s="140"/>
      <x:c r="I42" s="140"/>
      <x:c r="J42" s="140"/>
      <x:c r="K42" s="140"/>
      <x:c r="L42" s="140"/>
      <x:c r="M42" s="140"/>
      <x:c r="N42" s="140"/>
      <x:c r="O42" s="140"/>
      <x:c r="P42" s="140"/>
      <x:c r="Q42" s="140"/>
    </x:row>
    <x:row r="43">
      <x:c r="A43" s="57" t="str">
        <x:v>Leapwork Play</x:v>
      </x:c>
      <x:c r="B43" s="57" t="str">
        <x:v>Не измерено</x:v>
      </x:c>
      <x:c r="C43" s="57" t="str">
        <x:v>Не измерено</x:v>
      </x:c>
      <x:c r="D43" s="57" t="str">
        <x:v>Не измерено</x:v>
      </x:c>
      <x:c r="E43" s="57" t="str">
        <x:v>Нужен vendor trial/account</x:v>
      </x:c>
      <x:c r="F43" s="140"/>
      <x:c r="G43" s="140"/>
      <x:c r="H43" s="140"/>
      <x:c r="I43" s="140"/>
      <x:c r="J43" s="140"/>
      <x:c r="K43" s="140"/>
      <x:c r="L43" s="140"/>
      <x:c r="M43" s="140"/>
      <x:c r="N43" s="140"/>
      <x:c r="O43" s="140"/>
      <x:c r="P43" s="140"/>
      <x:c r="Q43" s="140"/>
    </x:row>
    <x:row r="44">
      <x:c r="A44" s="57" t="str">
        <x:v>KaneAI</x:v>
      </x:c>
      <x:c r="B44" s="57" t="str">
        <x:v>Не измерено</x:v>
      </x:c>
      <x:c r="C44" s="57" t="str">
        <x:v>Не измерено</x:v>
      </x:c>
      <x:c r="D44" s="57" t="str">
        <x:v>Не измерено</x:v>
      </x:c>
      <x:c r="E44" s="57" t="str">
        <x:v>Нужен cloud account</x:v>
      </x:c>
      <x:c r="F44" s="140"/>
      <x:c r="G44" s="140"/>
      <x:c r="H44" s="140"/>
      <x:c r="I44" s="140"/>
      <x:c r="J44" s="140"/>
      <x:c r="K44" s="140"/>
      <x:c r="L44" s="140"/>
      <x:c r="M44" s="140"/>
      <x:c r="N44" s="140"/>
      <x:c r="O44" s="140"/>
      <x:c r="P44" s="140"/>
      <x:c r="Q44" s="140"/>
    </x:row>
    <x:row r="45">
      <x:c r="A45" s="57" t="str">
        <x:v>BrowserStack Agentic LCA</x:v>
      </x:c>
      <x:c r="B45" s="57" t="str">
        <x:v>Не измерено</x:v>
      </x:c>
      <x:c r="C45" s="57" t="str">
        <x:v>Не измерено</x:v>
      </x:c>
      <x:c r="D45" s="57" t="str">
        <x:v>Не измерено</x:v>
      </x:c>
      <x:c r="E45" s="57" t="str">
        <x:v>Нужен cloud account</x:v>
      </x:c>
      <x:c r="F45" s="140"/>
      <x:c r="G45" s="140"/>
      <x:c r="H45" s="140"/>
      <x:c r="I45" s="140"/>
      <x:c r="J45" s="140"/>
      <x:c r="K45" s="140"/>
      <x:c r="L45" s="140"/>
      <x:c r="M45" s="140"/>
      <x:c r="N45" s="140"/>
      <x:c r="O45" s="140"/>
      <x:c r="P45" s="140"/>
      <x:c r="Q45" s="140"/>
    </x:row>
    <x:row r="46">
      <x:c r="A46" s="58" t="str">
        <x:v>QA Wolf</x:v>
      </x:c>
      <x:c r="B46" s="58" t="str">
        <x:v>N/A</x:v>
      </x:c>
      <x:c r="C46" s="58" t="str">
        <x:v>N/A</x:v>
      </x:c>
      <x:c r="D46" s="58" t="str">
        <x:v>N/A</x:v>
      </x:c>
      <x:c r="E46" s="58" t="str">
        <x:v>Managed outcome: отдельный coverage/TCO protocol</x:v>
      </x:c>
      <x:c r="F46" s="140"/>
      <x:c r="G46" s="140"/>
      <x:c r="H46" s="140"/>
      <x:c r="I46" s="140"/>
      <x:c r="J46" s="140"/>
      <x:c r="K46" s="140"/>
      <x:c r="L46" s="140"/>
      <x:c r="M46" s="140"/>
      <x:c r="N46" s="140"/>
      <x:c r="O46" s="140"/>
      <x:c r="P46" s="140"/>
      <x:c r="Q46" s="140"/>
    </x:row>
  </x:sheetData>
  <x:mergeCells>
    <x:mergeCell ref="A1:Q1"/>
    <x:mergeCell ref="A2:Q2"/>
    <x:mergeCell ref="A18:H18"/>
    <x:mergeCell ref="D24:H27"/>
    <x:mergeCell ref="A29:H29"/>
    <x:mergeCell ref="A39:H39"/>
  </x:mergeCells>
  <x:pageMargins left="0.7" right="0.7" top="0.75" bottom="0.75" header="0.3" footer="0.3"/>
  <x:drawing xmlns:r="http://schemas.openxmlformats.org/officeDocument/2006/relationships" r:id="R334ba53e7549456f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6" hidden="0" customWidth="1"/>
    <x:col min="4" max="4" width="26" hidden="0" customWidth="1"/>
    <x:col min="5" max="5" width="26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34" customHeight="1">
      <x:c r="A1" s="138" t="str">
        <x:v>Протокол будущих замеров</x:v>
      </x:c>
      <x:c r="B1" s="138"/>
      <x:c r="C1" s="138"/>
      <x:c r="D1" s="138"/>
      <x:c r="E1" s="138"/>
      <x:c r="F1" s="138"/>
      <x:c r="G1" s="138"/>
      <x:c r="H1" s="138"/>
      <x:c r="I1" s="138"/>
    </x:row>
    <x:row r="2" ht="30" customHeight="1">
      <x:c r="A2" s="139" t="str">
        <x:v>Цель — сравнивать качество решения задачи, а не скорость одного заранее написанного скрипта.</x:v>
      </x:c>
      <x:c r="B2" s="139"/>
      <x:c r="C2" s="139"/>
      <x:c r="D2" s="139"/>
      <x:c r="E2" s="139"/>
      <x:c r="F2" s="139"/>
      <x:c r="G2" s="139"/>
      <x:c r="H2" s="139"/>
      <x:c r="I2" s="139"/>
    </x:row>
    <x:row r="3">
      <x:c r="A3" s="140"/>
      <x:c r="B3" s="140"/>
      <x:c r="C3" s="140"/>
      <x:c r="D3" s="140"/>
      <x:c r="E3" s="140"/>
      <x:c r="F3" s="140"/>
      <x:c r="G3" s="140"/>
      <x:c r="H3" s="140"/>
      <x:c r="I3" s="140"/>
    </x:row>
    <x:row r="4" ht="30" customHeight="1">
      <x:c r="A4" s="153" t="str">
        <x:v>Трек</x:v>
      </x:c>
      <x:c r="B4" s="154" t="str">
        <x:v>Единица</x:v>
      </x:c>
      <x:c r="C4" s="154" t="str">
        <x:v>Общий input</x:v>
      </x:c>
      <x:c r="D4" s="154" t="str">
        <x:v>Start</x:v>
      </x:c>
      <x:c r="E4" s="154" t="str">
        <x:v>Stop</x:v>
      </x:c>
      <x:c r="F4" s="154" t="str">
        <x:v>Основные метрики</x:v>
      </x:c>
      <x:c r="G4" s="154" t="str">
        <x:v>Качество/guardrail</x:v>
      </x:c>
      <x:c r="H4" s="154" t="str">
        <x:v>Минимум</x:v>
      </x:c>
      <x:c r="I4" s="155" t="str">
        <x:v>Правило победителя</x:v>
      </x:c>
    </x:row>
    <x:row r="5">
      <x:c r="A5" s="56" t="str">
        <x:v>Replay</x:v>
      </x:c>
      <x:c r="B5" s="56" t="str">
        <x:v>Fresh runner process</x:v>
      </x:c>
      <x:c r="C5" s="56" t="str">
        <x:v>Один готовый 6-step test</x:v>
      </x:c>
      <x:c r="D5" s="56" t="str">
        <x:v>Перед spawn runner</x:v>
      </x:c>
      <x:c r="E5" s="56" t="str">
        <x:v>После report + shutdown</x:v>
      </x:c>
      <x:c r="F5" s="56" t="str">
        <x:v>Median, CI95, p95, LOC proxy</x:v>
      </x:c>
      <x:c r="G5" s="56" t="str">
        <x:v>Одинаковые SUT/browser/workers/retries/tracing</x:v>
      </x:c>
      <x:c r="H5" s="56" t="str">
        <x:v>1 warmup + 7 measured</x:v>
      </x:c>
      <x:c r="I5" s="56" t="str">
        <x:v>Ниже median при сопоставимом evidence</x:v>
      </x:c>
    </x:row>
    <x:row r="6">
      <x:c r="A6" s="57" t="str">
        <x:v>Authoring</x:v>
      </x:c>
      <x:c r="B6" s="57" t="str">
        <x:v>Fresh agent/user session</x:v>
      </x:c>
      <x:c r="C6" s="57" t="str">
        <x:v>Один requirement + SUT + acceptance</x:v>
      </x:c>
      <x:c r="D6" s="57" t="str">
        <x:v>Input выдан</x:v>
      </x:c>
      <x:c r="E6" s="57" t="str">
        <x:v>Первый accepted green run</x:v>
      </x:c>
      <x:c r="F6" s="57" t="str">
        <x:v>Elapsed, turns, tool calls, tokens, interventions, LOC, review min</x:v>
      </x:c>
      <x:c r="G6" s="57" t="str">
        <x:v>Скрытый oracle и reviewer rubric</x:v>
      </x:c>
      <x:c r="H6" s="57" t="str">
        <x:v>3 trials/product</x:v>
      </x:c>
      <x:c r="I6" s="57" t="str">
        <x:v>Сначала acceptance/right reason, затем time/review</x:v>
      </x:c>
    </x:row>
    <x:row r="7">
      <x:c r="A7" s="57" t="str">
        <x:v>Maintenance</x:v>
      </x:c>
      <x:c r="B7" s="57" t="str">
        <x:v>Seeded drift/bug</x:v>
      </x:c>
      <x:c r="C7" s="57" t="str">
        <x:v>Одинаковый baseline + mutation</x:v>
      </x:c>
      <x:c r="D7" s="57" t="str">
        <x:v>Mutation раскрыта runner</x:v>
      </x:c>
      <x:c r="E7" s="57" t="str">
        <x:v>Accepted repair или timeout</x:v>
      </x:c>
      <x:c r="F7" s="57" t="str">
        <x:v>Detection, false heal, repair time, diff size, reruns</x:v>
      </x:c>
      <x:c r="G7" s="57" t="str">
        <x:v>Repair обязан сохранить bug-catching power</x:v>
      </x:c>
      <x:c r="H7" s="57" t="str">
        <x:v>5 seeds/class</x:v>
      </x:c>
      <x:c r="I7" s="57" t="str">
        <x:v>Минимум false green; затем time</x:v>
      </x:c>
    </x:row>
    <x:row r="8">
      <x:c r="A8" s="57" t="str">
        <x:v>Flow</x:v>
      </x:c>
      <x:c r="B8" s="57" t="str">
        <x:v>End-to-end job</x:v>
      </x:c>
      <x:c r="C8" s="57" t="str">
        <x:v>Requirement → plan → test → run → evidence</x:v>
      </x:c>
      <x:c r="D8" s="57" t="str">
        <x:v>User starts task</x:v>
      </x:c>
      <x:c r="E8" s="57" t="str">
        <x:v>Decision-ready evidence</x:v>
      </x:c>
      <x:c r="F8" s="57" t="str">
        <x:v>Steps, context switches, manual edits, traceability</x:v>
      </x:c>
      <x:c r="G8" s="57" t="str">
        <x:v>Артефакты экспортируемы и reviewable</x:v>
      </x:c>
      <x:c r="H8" s="57" t="str">
        <x:v>3 reviewers</x:v>
      </x:c>
      <x:c r="I8" s="57" t="str">
        <x:v>Лучший median review score без critical miss</x:v>
      </x:c>
    </x:row>
    <x:row r="9">
      <x:c r="A9" s="58" t="str">
        <x:v>Managed outcome</x:v>
      </x:c>
      <x:c r="B9" s="58" t="str">
        <x:v>Portfolio/week</x:v>
      </x:c>
      <x:c r="C9" s="58" t="str">
        <x:v>Одинаковая app area + coverage goal</x:v>
      </x:c>
      <x:c r="D9" s="58" t="str">
        <x:v>Kickoff</x:v>
      </x:c>
      <x:c r="E9" s="58" t="str">
        <x:v>Stable coverage SLA</x:v>
      </x:c>
      <x:c r="F9" s="58" t="str">
        <x:v>Coverage, elapsed, engineer hours, escaped defects, TCO</x:v>
      </x:c>
      <x:c r="G9" s="58" t="str">
        <x:v>Отдельно от tool benchmark</x:v>
      </x:c>
      <x:c r="H9" s="58" t="str">
        <x:v>4 weeks</x:v>
      </x:c>
      <x:c r="I9" s="58" t="str">
        <x:v>Value/coverage per total cost</x:v>
      </x:c>
    </x:row>
    <x:row r="10">
      <x:c r="A10" s="140"/>
      <x:c r="B10" s="140"/>
      <x:c r="C10" s="140"/>
      <x:c r="D10" s="140"/>
      <x:c r="E10" s="140"/>
      <x:c r="F10" s="140"/>
      <x:c r="G10" s="140"/>
      <x:c r="H10" s="140"/>
      <x:c r="I10" s="140"/>
    </x:row>
    <x:row r="11">
      <x:c r="A11" s="140"/>
      <x:c r="B11" s="140"/>
      <x:c r="C11" s="140"/>
      <x:c r="D11" s="140"/>
      <x:c r="E11" s="140"/>
      <x:c r="F11" s="140"/>
      <x:c r="G11" s="140"/>
      <x:c r="H11" s="140"/>
      <x:c r="I11" s="140"/>
    </x:row>
    <x:row r="12">
      <x:c r="A12" s="150" t="str">
        <x:v>Authoring trial — обязательный журнал</x:v>
      </x:c>
      <x:c r="B12" s="151"/>
      <x:c r="C12" s="151"/>
      <x:c r="D12" s="151"/>
      <x:c r="E12" s="151"/>
      <x:c r="F12" s="151"/>
      <x:c r="G12" s="151"/>
      <x:c r="H12" s="151"/>
      <x:c r="I12" s="152"/>
    </x:row>
    <x:row r="13" ht="30" customHeight="1">
      <x:c r="A13" s="153" t="str">
        <x:v>Trial ID</x:v>
      </x:c>
      <x:c r="B13" s="154" t="str">
        <x:v>Product</x:v>
      </x:c>
      <x:c r="C13" s="154" t="str">
        <x:v>Operator</x:v>
      </x:c>
      <x:c r="D13" s="154" t="str">
        <x:v>Requirement hash</x:v>
      </x:c>
      <x:c r="E13" s="154" t="str">
        <x:v>First green min</x:v>
      </x:c>
      <x:c r="F13" s="154" t="str">
        <x:v>Accepted min</x:v>
      </x:c>
      <x:c r="G13" s="154" t="str">
        <x:v>Interventions</x:v>
      </x:c>
      <x:c r="H13" s="154" t="str">
        <x:v>Review min</x:v>
      </x:c>
      <x:c r="I13" s="155" t="str">
        <x:v>Verdict/right reason</x:v>
      </x:c>
    </x:row>
    <x:row r="14">
      <x:c r="A14" s="56" t="str">
        <x:v>TBD-01</x:v>
      </x:c>
      <x:c r="B14" s="56" t="str">
        <x:v>Testence</x:v>
      </x:c>
      <x:c r="C14" s="56" t="str">
        <x:v>TBD</x:v>
      </x:c>
      <x:c r="D14" s="56" t="str">
        <x:v>TBD</x:v>
      </x:c>
      <x:c r="E14" s="56" t="str">
        <x:v>Не измерено</x:v>
      </x:c>
      <x:c r="F14" s="56" t="str">
        <x:v>Не измерено</x:v>
      </x:c>
      <x:c r="G14" s="56" t="str">
        <x:v>Не измерено</x:v>
      </x:c>
      <x:c r="H14" s="56" t="str">
        <x:v>Не измерено</x:v>
      </x:c>
      <x:c r="I14" s="56" t="str">
        <x:v>Не измерено</x:v>
      </x:c>
    </x:row>
    <x:row r="15">
      <x:c r="A15" s="57" t="str">
        <x:v>TBD-02</x:v>
      </x:c>
      <x:c r="B15" s="57" t="str">
        <x:v>Playwright Agents</x:v>
      </x:c>
      <x:c r="C15" s="57" t="str">
        <x:v>TBD</x:v>
      </x:c>
      <x:c r="D15" s="57" t="str">
        <x:v>TBD</x:v>
      </x:c>
      <x:c r="E15" s="57" t="str">
        <x:v>Не измерено</x:v>
      </x:c>
      <x:c r="F15" s="57" t="str">
        <x:v>Не измерено</x:v>
      </x:c>
      <x:c r="G15" s="57" t="str">
        <x:v>Не измерено</x:v>
      </x:c>
      <x:c r="H15" s="57" t="str">
        <x:v>Не измерено</x:v>
      </x:c>
      <x:c r="I15" s="57" t="str">
        <x:v>Не измерено</x:v>
      </x:c>
    </x:row>
    <x:row r="16">
      <x:c r="A16" s="57" t="str">
        <x:v>TBD-03</x:v>
      </x:c>
      <x:c r="B16" s="57" t="str">
        <x:v>Momentic</x:v>
      </x:c>
      <x:c r="C16" s="57" t="str">
        <x:v>TBD</x:v>
      </x:c>
      <x:c r="D16" s="57" t="str">
        <x:v>TBD</x:v>
      </x:c>
      <x:c r="E16" s="57" t="str">
        <x:v>Не измерено</x:v>
      </x:c>
      <x:c r="F16" s="57" t="str">
        <x:v>Не измерено</x:v>
      </x:c>
      <x:c r="G16" s="57" t="str">
        <x:v>Не измерено</x:v>
      </x:c>
      <x:c r="H16" s="57" t="str">
        <x:v>Не измерено</x:v>
      </x:c>
      <x:c r="I16" s="57" t="str">
        <x:v>Не измерено</x:v>
      </x:c>
    </x:row>
    <x:row r="17">
      <x:c r="A17" s="57" t="str">
        <x:v>TBD-04</x:v>
      </x:c>
      <x:c r="B17" s="57" t="str">
        <x:v>Virtuoso</x:v>
      </x:c>
      <x:c r="C17" s="57" t="str">
        <x:v>TBD</x:v>
      </x:c>
      <x:c r="D17" s="57" t="str">
        <x:v>TBD</x:v>
      </x:c>
      <x:c r="E17" s="57" t="str">
        <x:v>Не измерено</x:v>
      </x:c>
      <x:c r="F17" s="57" t="str">
        <x:v>Не измерено</x:v>
      </x:c>
      <x:c r="G17" s="57" t="str">
        <x:v>Не измерено</x:v>
      </x:c>
      <x:c r="H17" s="57" t="str">
        <x:v>Не измерено</x:v>
      </x:c>
      <x:c r="I17" s="57" t="str">
        <x:v>Не измерено</x:v>
      </x:c>
    </x:row>
    <x:row r="18">
      <x:c r="A18" s="58" t="str">
        <x:v>TBD-05</x:v>
      </x:c>
      <x:c r="B18" s="58" t="str">
        <x:v>Leapwork Play</x:v>
      </x:c>
      <x:c r="C18" s="58" t="str">
        <x:v>TBD</x:v>
      </x:c>
      <x:c r="D18" s="58" t="str">
        <x:v>TBD</x:v>
      </x:c>
      <x:c r="E18" s="58" t="str">
        <x:v>Не измерено</x:v>
      </x:c>
      <x:c r="F18" s="58" t="str">
        <x:v>Не измерено</x:v>
      </x:c>
      <x:c r="G18" s="58" t="str">
        <x:v>Не измерено</x:v>
      </x:c>
      <x:c r="H18" s="58" t="str">
        <x:v>Не измерено</x:v>
      </x:c>
      <x:c r="I18" s="58" t="str">
        <x:v>Не измерено</x:v>
      </x:c>
    </x:row>
    <x:row r="19">
      <x:c r="A19" s="140"/>
      <x:c r="B19" s="140"/>
      <x:c r="C19" s="140"/>
      <x:c r="D19" s="140"/>
      <x:c r="E19" s="140"/>
      <x:c r="F19" s="140"/>
      <x:c r="G19" s="140"/>
      <x:c r="H19" s="140"/>
      <x:c r="I19" s="140"/>
    </x:row>
    <x:row r="20">
      <x:c r="A20" s="140"/>
      <x:c r="B20" s="140"/>
      <x:c r="C20" s="140"/>
      <x:c r="D20" s="140"/>
      <x:c r="E20" s="140"/>
      <x:c r="F20" s="140"/>
      <x:c r="G20" s="140"/>
      <x:c r="H20" s="140"/>
      <x:c r="I20" s="140"/>
    </x:row>
    <x:row r="21">
      <x:c r="A21" s="150" t="str">
        <x:v>Anti-gaming правила</x:v>
      </x:c>
      <x:c r="B21" s="151"/>
      <x:c r="C21" s="151"/>
      <x:c r="D21" s="151"/>
      <x:c r="E21" s="151"/>
      <x:c r="F21" s="151"/>
      <x:c r="G21" s="151"/>
      <x:c r="H21" s="151"/>
      <x:c r="I21" s="152"/>
    </x:row>
    <x:row r="22">
      <x:c r="A22" s="168" t="str">
        <x:v>1</x:v>
      </x:c>
      <x:c r="B22" s="168" t="str">
        <x:v>Заморозить SUT, browser build, hardware и network mode до trials</x:v>
      </x:c>
      <x:c r="C22" s="168" t="str"/>
      <x:c r="D22" s="168" t="str"/>
      <x:c r="E22" s="168" t="str"/>
      <x:c r="F22" s="168" t="str"/>
      <x:c r="G22" s="168" t="str"/>
      <x:c r="H22" s="168" t="str"/>
      <x:c r="I22" s="168" t="str"/>
    </x:row>
    <x:row r="23">
      <x:c r="A23" s="169" t="str">
        <x:v>2</x:v>
      </x:c>
      <x:c r="B23" s="169" t="str">
        <x:v>Рандомизировать порядок arms; публиковать raw logs, failures и исключения</x:v>
      </x:c>
      <x:c r="C23" s="169" t="str"/>
      <x:c r="D23" s="169" t="str"/>
      <x:c r="E23" s="169" t="str"/>
      <x:c r="F23" s="169" t="str"/>
      <x:c r="G23" s="169" t="str"/>
      <x:c r="H23" s="169" t="str"/>
      <x:c r="I23" s="169" t="str"/>
    </x:row>
    <x:row r="24">
      <x:c r="A24" s="169" t="str">
        <x:v>3</x:v>
      </x:c>
      <x:c r="B24" s="169" t="str">
        <x:v>Не считать generated LOC временем authoring; LOC — только proxy сложности review</x:v>
      </x:c>
      <x:c r="C24" s="169" t="str"/>
      <x:c r="D24" s="169" t="str"/>
      <x:c r="E24" s="169" t="str"/>
      <x:c r="F24" s="169" t="str"/>
      <x:c r="G24" s="169" t="str"/>
      <x:c r="H24" s="169" t="str"/>
      <x:c r="I24" s="169" t="str"/>
    </x:row>
    <x:row r="25">
      <x:c r="A25" s="169" t="str">
        <x:v>4</x:v>
      </x:c>
      <x:c r="B25" s="169" t="str">
        <x:v>Timeout, retry, auto-heal и кэш фиксировать до начала; запрещено менять post hoc</x:v>
      </x:c>
      <x:c r="C25" s="169" t="str"/>
      <x:c r="D25" s="169" t="str"/>
      <x:c r="E25" s="169" t="str"/>
      <x:c r="F25" s="169" t="str"/>
      <x:c r="G25" s="169" t="str"/>
      <x:c r="H25" s="169" t="str"/>
      <x:c r="I25" s="169" t="str"/>
    </x:row>
    <x:row r="26">
      <x:c r="A26" s="169" t="str">
        <x:v>5</x:v>
      </x:c>
      <x:c r="B26" s="169" t="str">
        <x:v>Green без правильной причины = failure, а не быстрый успех</x:v>
      </x:c>
      <x:c r="C26" s="169" t="str"/>
      <x:c r="D26" s="169" t="str"/>
      <x:c r="E26" s="169" t="str"/>
      <x:c r="F26" s="169" t="str"/>
      <x:c r="G26" s="169" t="str"/>
      <x:c r="H26" s="169" t="str"/>
      <x:c r="I26" s="169" t="str"/>
    </x:row>
    <x:row r="27">
      <x:c r="A27" s="170" t="str">
        <x:v>6</x:v>
      </x:c>
      <x:c r="B27" s="170" t="str">
        <x:v>Vendor claim и локальный факт хранятся в разных evidence levels</x:v>
      </x:c>
      <x:c r="C27" s="170" t="str"/>
      <x:c r="D27" s="170" t="str"/>
      <x:c r="E27" s="170" t="str"/>
      <x:c r="F27" s="170" t="str"/>
      <x:c r="G27" s="170" t="str"/>
      <x:c r="H27" s="170" t="str"/>
      <x:c r="I27" s="170" t="str"/>
    </x:row>
  </x:sheetData>
  <x:mergeCells>
    <x:mergeCell ref="A1:I1"/>
    <x:mergeCell ref="A2:I2"/>
    <x:mergeCell ref="A12:I12"/>
    <x:mergeCell ref="A21:I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58" hidden="0" customWidth="1"/>
    <x:col min="4" max="4" width="15" hidden="0" customWidth="1"/>
    <x:col min="5" max="5" width="48" hidden="0" customWidth="1"/>
  </x:cols>
  <x:sheetData>
    <x:row r="1" ht="34" customHeight="1">
      <x:c r="A1" s="138" t="str">
        <x:v>Источники и уровень доказательности</x:v>
      </x:c>
      <x:c r="B1" s="138"/>
      <x:c r="C1" s="138"/>
      <x:c r="D1" s="138"/>
      <x:c r="E1" s="138"/>
    </x:row>
    <x:row r="2" ht="30" customHeight="1">
      <x:c r="A2" s="139" t="str">
        <x:v>S01–S22 — официальные страницы/документация; S23–S24 — локальные измеренные артефакты. Vendor claims не приравниваются к hands-on.</x:v>
      </x:c>
      <x:c r="B2" s="139"/>
      <x:c r="C2" s="139"/>
      <x:c r="D2" s="139"/>
      <x:c r="E2" s="139"/>
    </x:row>
    <x:row r="3">
      <x:c r="A3" s="140"/>
      <x:c r="B3" s="140"/>
      <x:c r="C3" s="140"/>
      <x:c r="D3" s="140"/>
      <x:c r="E3" s="140"/>
    </x:row>
    <x:row r="4" ht="30" customHeight="1">
      <x:c r="A4" s="153" t="str">
        <x:v>ID</x:v>
      </x:c>
      <x:c r="B4" s="154" t="str">
        <x:v>Источник</x:v>
      </x:c>
      <x:c r="C4" s="154" t="str">
        <x:v>URL / path</x:v>
      </x:c>
      <x:c r="D4" s="154" t="str">
        <x:v>Тип</x:v>
      </x:c>
      <x:c r="E4" s="155" t="str">
        <x:v>Что подтверждает</x:v>
      </x:c>
    </x:row>
    <x:row r="5">
      <x:c r="A5" s="56" t="str">
        <x:v>S01</x:v>
      </x:c>
      <x:c r="B5" s="56" t="str">
        <x:v>Playwright Test Agents</x:v>
      </x:c>
      <x:c r="C5" s="56" t="str">
        <x:v>https://playwright.dev/docs/test-agents</x:v>
      </x:c>
      <x:c r="D5" s="56" t="str">
        <x:v>Docs</x:v>
      </x:c>
      <x:c r="E5" s="56" t="str">
        <x:v>Planner/generator/healer; coding-agent setup</x:v>
      </x:c>
    </x:row>
    <x:row r="6">
      <x:c r="A6" s="57" t="str">
        <x:v>S02</x:v>
      </x:c>
      <x:c r="B6" s="57" t="str">
        <x:v>Playwright runner</x:v>
      </x:c>
      <x:c r="C6" s="57" t="str">
        <x:v>https://playwright.dev/</x:v>
      </x:c>
      <x:c r="D6" s="57" t="str">
        <x:v>Docs</x:v>
      </x:c>
      <x:c r="E6" s="57" t="str">
        <x:v>Auto-wait, traces, parallelism, cross-browser</x:v>
      </x:c>
    </x:row>
    <x:row r="7">
      <x:c r="A7" s="57" t="str">
        <x:v>S03</x:v>
      </x:c>
      <x:c r="B7" s="57" t="str">
        <x:v>Virtuoso Touchstone</x:v>
      </x:c>
      <x:c r="C7" s="57" t="str">
        <x:v>https://www.virtuosoqa.com/</x:v>
      </x:c>
      <x:c r="D7" s="57" t="str">
        <x:v>Product</x:v>
      </x:c>
      <x:c r="E7" s="57" t="str">
        <x:v>Reviewable diffs, traceability, evidence, deterministic engine</x:v>
      </x:c>
    </x:row>
    <x:row r="8">
      <x:c r="A8" s="57" t="str">
        <x:v>S04</x:v>
      </x:c>
      <x:c r="B8" s="57" t="str">
        <x:v>Leapwork Play</x:v>
      </x:c>
      <x:c r="C8" s="57" t="str">
        <x:v>https://leapwork.com/leapwork-play/</x:v>
      </x:c>
      <x:c r="D8" s="57" t="str">
        <x:v>Product</x:v>
      </x:c>
      <x:c r="E8" s="57" t="str">
        <x:v>Plans/scripts, deterministic TypeScript, governance</x:v>
      </x:c>
    </x:row>
    <x:row r="9">
      <x:c r="A9" s="57" t="str">
        <x:v>S05</x:v>
      </x:c>
      <x:c r="B9" s="57" t="str">
        <x:v>Leapwork announcement</x:v>
      </x:c>
      <x:c r="C9" s="57" t="str">
        <x:v>https://leapwork.com/blog/leapwork-announces-continuous-validation-platform/</x:v>
      </x:c>
      <x:c r="D9" s="57" t="str">
        <x:v>Product</x:v>
      </x:c>
      <x:c r="E9" s="57" t="str">
        <x:v>Deterministic-by-design continuous validation</x:v>
      </x:c>
    </x:row>
    <x:row r="10">
      <x:c r="A10" s="57" t="str">
        <x:v>S06</x:v>
      </x:c>
      <x:c r="B10" s="57" t="str">
        <x:v>Functionize Studio</x:v>
      </x:c>
      <x:c r="C10" s="57" t="str">
        <x:v>https://www.functionize.com/</x:v>
      </x:c>
      <x:c r="D10" s="57" t="str">
        <x:v>Product</x:v>
      </x:c>
      <x:c r="E10" s="57" t="str">
        <x:v>Generative intent, deterministic core</x:v>
      </x:c>
    </x:row>
    <x:row r="11">
      <x:c r="A11" s="57" t="str">
        <x:v>S07</x:v>
      </x:c>
      <x:c r="B11" s="57" t="str">
        <x:v>Applitools Autonomous</x:v>
      </x:c>
      <x:c r="C11" s="57" t="str">
        <x:v>https://applitools.com/platform/autonomous/</x:v>
      </x:c>
      <x:c r="D11" s="57" t="str">
        <x:v>Docs/Product</x:v>
      </x:c>
      <x:c r="E11" s="57" t="str">
        <x:v>Plain English, DLM, Visual AI, API</x:v>
      </x:c>
    </x:row>
    <x:row r="12">
      <x:c r="A12" s="57" t="str">
        <x:v>S08</x:v>
      </x:c>
      <x:c r="B12" s="57" t="str">
        <x:v>Momentic</x:v>
      </x:c>
      <x:c r="C12" s="57" t="str">
        <x:v>https://momentic.ai/docs</x:v>
      </x:c>
      <x:c r="D12" s="57" t="str">
        <x:v>Docs</x:v>
      </x:c>
      <x:c r="E12" s="57" t="str">
        <x:v>Repo YAML, local/CI, agent loop, cache, traces</x:v>
      </x:c>
    </x:row>
    <x:row r="13">
      <x:c r="A13" s="57" t="str">
        <x:v>S09</x:v>
      </x:c>
      <x:c r="B13" s="57" t="str">
        <x:v>QA Wolf</x:v>
      </x:c>
      <x:c r="C13" s="57" t="str">
        <x:v>https://docs.qawolf.com/qawolf/Welcome-to-QA-Wolf</x:v>
      </x:c>
      <x:c r="D13" s="57" t="str">
        <x:v>Docs</x:v>
      </x:c>
      <x:c r="E13" s="57" t="str">
        <x:v>Managed lifecycle, code ownership, parallel execution</x:v>
      </x:c>
    </x:row>
    <x:row r="14">
      <x:c r="A14" s="57" t="str">
        <x:v>S10</x:v>
      </x:c>
      <x:c r="B14" s="57" t="str">
        <x:v>KaneAI</x:v>
      </x:c>
      <x:c r="C14" s="57" t="str">
        <x:v>https://www.testmuai.com/kane-ai/</x:v>
      </x:c>
      <x:c r="D14" s="57" t="str">
        <x:v>Product</x:v>
      </x:c>
      <x:c r="E14" s="57" t="str">
        <x:v>Plan/author/heal, code export, cloud breadth</x:v>
      </x:c>
    </x:row>
    <x:row r="15">
      <x:c r="A15" s="57" t="str">
        <x:v>S11</x:v>
      </x:c>
      <x:c r="B15" s="57" t="str">
        <x:v>BrowserStack Agentic LCA</x:v>
      </x:c>
      <x:c r="C15" s="57" t="str">
        <x:v>https://www.browserstack.com/docs/low-code-automation/test-recording/browserstack-ai/agentic-testing</x:v>
      </x:c>
      <x:c r="D15" s="57" t="str">
        <x:v>Docs</x:v>
      </x:c>
      <x:c r="E15" s="57" t="str">
        <x:v>Generate/refine/automate/validate/heal</x:v>
      </x:c>
    </x:row>
    <x:row r="16">
      <x:c r="A16" s="57" t="str">
        <x:v>S12</x:v>
      </x:c>
      <x:c r="B16" s="57" t="str">
        <x:v>SmartBear Reflect</x:v>
      </x:c>
      <x:c r="C16" s="57" t="str">
        <x:v>https://support.smartbear.com/reflect/docs/en/recording</x:v>
      </x:c>
      <x:c r="D16" s="57" t="str">
        <x:v>Docs</x:v>
      </x:c>
      <x:c r="E16" s="57" t="str">
        <x:v>Record, AI, API/visual, local/private flows</x:v>
      </x:c>
    </x:row>
    <x:row r="17">
      <x:c r="A17" s="57" t="str">
        <x:v>S13</x:v>
      </x:c>
      <x:c r="B17" s="57" t="str">
        <x:v>mabl auto-heal</x:v>
      </x:c>
      <x:c r="C17" s="57" t="str">
        <x:v>https://help.mabl.com/hc/en-us/articles/19078583792404-How-auto-heal-works</x:v>
      </x:c>
      <x:c r="D17" s="57" t="str">
        <x:v>Docs</x:v>
      </x:c>
      <x:c r="E17" s="57" t="str">
        <x:v>Element history, confidence and auto-heal outcomes</x:v>
      </x:c>
    </x:row>
    <x:row r="18">
      <x:c r="A18" s="57" t="str">
        <x:v>S14</x:v>
      </x:c>
      <x:c r="B18" s="57" t="str">
        <x:v>testRigor</x:v>
      </x:c>
      <x:c r="C18" s="57" t="str">
        <x:v>https://testrigor.com/docs/language/</x:v>
      </x:c>
      <x:c r="D18" s="57" t="str">
        <x:v>Docs</x:v>
      </x:c>
      <x:c r="E18" s="57" t="str">
        <x:v>Plain-English automation language</x:v>
      </x:c>
    </x:row>
    <x:row r="19">
      <x:c r="A19" s="57" t="str">
        <x:v>S15</x:v>
      </x:c>
      <x:c r="B19" s="57" t="str">
        <x:v>Katalon self-heal</x:v>
      </x:c>
      <x:c r="C19" s="57" t="str">
        <x:v>https://docs.katalon.com/katalon-studio/maintain-tests/self-healing-tests-in-katalon-studio</x:v>
      </x:c>
      <x:c r="D19" s="57" t="str">
        <x:v>Docs</x:v>
      </x:c>
      <x:c r="E19" s="57" t="str">
        <x:v>Classic and AI self-healing</x:v>
      </x:c>
    </x:row>
    <x:row r="20">
      <x:c r="A20" s="57" t="str">
        <x:v>S16</x:v>
      </x:c>
      <x:c r="B20" s="57" t="str">
        <x:v>Autify NoCode</x:v>
      </x:c>
      <x:c r="C20" s="57" t="str">
        <x:v>https://nocode.autify.com/</x:v>
      </x:c>
      <x:c r="D20" s="57" t="str">
        <x:v>Product</x:v>
      </x:c>
      <x:c r="E20" s="57" t="str">
        <x:v>No-code recording, parallel, AI maintenance</x:v>
      </x:c>
    </x:row>
    <x:row r="21">
      <x:c r="A21" s="57" t="str">
        <x:v>S17</x:v>
      </x:c>
      <x:c r="B21" s="57" t="str">
        <x:v>ACCELQ</x:v>
      </x:c>
      <x:c r="C21" s="57" t="str">
        <x:v>https://www.accelq.com/codeless/</x:v>
      </x:c>
      <x:c r="D21" s="57" t="str">
        <x:v>Product</x:v>
      </x:c>
      <x:c r="E21" s="57" t="str">
        <x:v>Codeless business-process automation</x:v>
      </x:c>
    </x:row>
    <x:row r="22">
      <x:c r="A22" s="57" t="str">
        <x:v>S18</x:v>
      </x:c>
      <x:c r="B22" s="57" t="str">
        <x:v>Testim</x:v>
      </x:c>
      <x:c r="C22" s="57" t="str">
        <x:v>https://docs.tricentis.com/testim/content/overview/testim-overview/testim-automate.htm</x:v>
      </x:c>
      <x:c r="D22" s="57" t="str">
        <x:v>Docs</x:v>
      </x:c>
      <x:c r="E22" s="57" t="str">
        <x:v>Recorder, smart locators, local/cloud execution</x:v>
      </x:c>
    </x:row>
    <x:row r="23">
      <x:c r="A23" s="57" t="str">
        <x:v>S19</x:v>
      </x:c>
      <x:c r="B23" s="57" t="str">
        <x:v>WebdriverIO</x:v>
      </x:c>
      <x:c r="C23" s="57" t="str">
        <x:v>https://webdriver.io/docs/testrunner/</x:v>
      </x:c>
      <x:c r="D23" s="57" t="str">
        <x:v>Docs</x:v>
      </x:c>
      <x:c r="E23" s="57" t="str">
        <x:v>Runner, services, reporters</x:v>
      </x:c>
    </x:row>
    <x:row r="24">
      <x:c r="A24" s="57" t="str">
        <x:v>S20</x:v>
      </x:c>
      <x:c r="B24" s="57" t="str">
        <x:v>SeleniumBase</x:v>
      </x:c>
      <x:c r="C24" s="57" t="str">
        <x:v>https://seleniumbase.io/help_docs/how_it_works/</x:v>
      </x:c>
      <x:c r="D24" s="57" t="str">
        <x:v>Docs</x:v>
      </x:c>
      <x:c r="E24" s="57" t="str">
        <x:v>Pytest plugin, recorder, dashboard</x:v>
      </x:c>
    </x:row>
    <x:row r="25">
      <x:c r="A25" s="57" t="str">
        <x:v>S21</x:v>
      </x:c>
      <x:c r="B25" s="57" t="str">
        <x:v>Robot Framework Browser</x:v>
      </x:c>
      <x:c r="C25" s="57" t="str">
        <x:v>https://robotframework-browser.org/docs/start/getting-started/</x:v>
      </x:c>
      <x:c r="D25" s="57" t="str">
        <x:v>Docs</x:v>
      </x:c>
      <x:c r="E25" s="57" t="str">
        <x:v>Playwright-backed keyword testing</x:v>
      </x:c>
    </x:row>
    <x:row r="26">
      <x:c r="A26" s="57" t="str">
        <x:v>S22</x:v>
      </x:c>
      <x:c r="B26" s="57" t="str">
        <x:v>Chrome Recorder</x:v>
      </x:c>
      <x:c r="C26" s="57" t="str">
        <x:v>https://developer.chrome.com/docs/devtools/recorder/overview</x:v>
      </x:c>
      <x:c r="D26" s="57" t="str">
        <x:v>Docs</x:v>
      </x:c>
      <x:c r="E26" s="57" t="str">
        <x:v>Record, replay, measure and export flows</x:v>
      </x:c>
    </x:row>
    <x:row r="27">
      <x:c r="A27" s="57" t="str">
        <x:v>S23</x:v>
      </x:c>
      <x:c r="B27" s="57" t="str">
        <x:v>Local replay result</x:v>
      </x:c>
      <x:c r="C27" s="57" t="str">
        <x:v>D:/Projects/testence/bench/results/competitive-replay.json</x:v>
      </x:c>
      <x:c r="D27" s="57" t="str">
        <x:v>Measured</x:v>
      </x:c>
      <x:c r="E27" s="57" t="str">
        <x:v>7 repeats per arm plus environment and raw samples</x:v>
      </x:c>
    </x:row>
    <x:row r="28">
      <x:c r="A28" s="58" t="str">
        <x:v>S24</x:v>
      </x:c>
      <x:c r="B28" s="58" t="str">
        <x:v>Local truth corpus</x:v>
      </x:c>
      <x:c r="C28" s="58" t="str">
        <x:v>D:/Projects/testence/bench/corpus/results/collection.json</x:v>
      </x:c>
      <x:c r="D28" s="58" t="str">
        <x:v>Measured</x:v>
      </x:c>
      <x:c r="E28" s="58" t="str">
        <x:v>51 item-runs across three repeats</x:v>
      </x:c>
    </x:row>
    <x:row r="29">
      <x:c r="A29" s="140"/>
      <x:c r="B29" s="140"/>
      <x:c r="C29" s="140"/>
      <x:c r="D29" s="140"/>
      <x:c r="E29" s="140"/>
    </x:row>
    <x:row r="30">
      <x:c r="A30" s="140"/>
      <x:c r="B30" s="140"/>
      <x:c r="C30" s="140"/>
      <x:c r="D30" s="140"/>
      <x:c r="E30" s="140"/>
    </x:row>
    <x:row r="31">
      <x:c r="A31" s="160" t="str">
        <x:v>Evidence levels: 0 — не найдено; 1 — vendor/product claim; 2 — официальная документация с операционными деталями; 3 — локальный повторяемый замер с raw output.</x:v>
      </x:c>
      <x:c r="B31" s="160"/>
      <x:c r="C31" s="160"/>
      <x:c r="D31" s="160"/>
      <x:c r="E31" s="160"/>
    </x:row>
  </x:sheetData>
  <x:mergeCells>
    <x:mergeCell ref="A1:E1"/>
    <x:mergeCell ref="A2:E2"/>
    <x:mergeCell ref="A31:E31"/>
  </x:mergeCells>
  <x:pageMargins left="0.7" right="0.7" top="0.75" bottom="0.75" header="0.3" footer="0.3"/>
  <x:tableParts count="1">
    <x:tablePart xmlns:r="http://schemas.openxmlformats.org/officeDocument/2006/relationships" r:id="R12616198b27d4cd2"/>
  </x:tableParts>
</x:worksheet>
</file>